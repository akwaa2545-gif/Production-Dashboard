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300"/>
  </bookViews>
  <sheets>
    <sheet sheetId="1" name="Sheet1" state="visible" r:id="rId4"/>
    <sheet sheetId="3" name="Sheet3" state="visible" r:id="rId5"/>
    <sheet sheetId="4" name="Sheet4" state="visible" r:id="rId6"/>
    <sheet sheetId="2" name="Sheet2" state="visible" r:id="rId7"/>
  </sheets>
  <definedNames>
    <definedName name="_xlnm._FilterDatabase">Sheet1!$A$1:$D$198</definedName>
  </definedNames>
  <calcPr calcId="171027"/>
</workbook>
</file>

<file path=xl/sharedStrings.xml><?xml version="1.0" encoding="utf-8"?>
<sst xmlns="http://schemas.openxmlformats.org/spreadsheetml/2006/main" count="748" uniqueCount="224">
  <si>
    <t>Line</t>
  </si>
  <si>
    <t>Mode</t>
  </si>
  <si>
    <r>
      <t>Calculate Yield (</t>
    </r>
    <r>
      <rPr>
        <b/>
        <color rgb="FF00B050"/>
        <family val="2"/>
        <scheme val="minor"/>
        <sz val="11"/>
        <rFont val="Calibri"/>
      </rPr>
      <t>Y</t>
    </r>
    <r>
      <rPr>
        <color theme="1"/>
        <family val="2"/>
        <scheme val="minor"/>
        <sz val="11"/>
        <rFont val="Calibri"/>
      </rPr>
      <t>/</t>
    </r>
    <r>
      <rPr>
        <b/>
        <color rgb="FFFF0000"/>
        <family val="2"/>
        <scheme val="minor"/>
        <sz val="11"/>
        <rFont val="Calibri"/>
      </rPr>
      <t>N</t>
    </r>
    <r>
      <rPr>
        <color theme="1"/>
        <family val="2"/>
        <scheme val="minor"/>
        <sz val="11"/>
        <rFont val="Calibri"/>
      </rPr>
      <t>)</t>
    </r>
  </si>
  <si>
    <t>Mode Grouping (Refer Column G)</t>
  </si>
  <si>
    <t>FM</t>
  </si>
  <si>
    <t>1111_Element NG</t>
  </si>
  <si>
    <t>N</t>
  </si>
  <si>
    <t>Assembly</t>
  </si>
  <si>
    <t>1112_MC Jamming</t>
  </si>
  <si>
    <t>Y</t>
  </si>
  <si>
    <t>CAP</t>
  </si>
  <si>
    <t>1113_Lack NG</t>
  </si>
  <si>
    <t>LC</t>
  </si>
  <si>
    <t>1114_Excess NG</t>
  </si>
  <si>
    <t>SD</t>
  </si>
  <si>
    <t>1211_Element NG</t>
  </si>
  <si>
    <t>ESR</t>
  </si>
  <si>
    <t>1212_Element Expose</t>
  </si>
  <si>
    <t>App</t>
  </si>
  <si>
    <t>1221_Incomplete molding</t>
  </si>
  <si>
    <t>1222_Mold Hole</t>
  </si>
  <si>
    <t>1223_Mold Chip/Dent</t>
  </si>
  <si>
    <t>1224_Mold Scratch</t>
  </si>
  <si>
    <t>1225_Crack</t>
  </si>
  <si>
    <t>1226_Shrinkage</t>
  </si>
  <si>
    <t>1227_Rough Surface</t>
  </si>
  <si>
    <t>1228_Dirty Surface</t>
  </si>
  <si>
    <t>1229_Resin flash</t>
  </si>
  <si>
    <t>1231_Terminal Bend</t>
  </si>
  <si>
    <t>1232_Terminal Expose</t>
  </si>
  <si>
    <t>1233_Terminal Scratch</t>
  </si>
  <si>
    <t>1234_Terminal flash</t>
  </si>
  <si>
    <t>1241_Liquid leak</t>
  </si>
  <si>
    <t>1251_Other</t>
  </si>
  <si>
    <t>1261_Lack NG</t>
  </si>
  <si>
    <t>1262_Excess NG</t>
  </si>
  <si>
    <t>1311_Mold Problem</t>
  </si>
  <si>
    <t>1312_Mold hole</t>
  </si>
  <si>
    <t>1313_Element expose</t>
  </si>
  <si>
    <t>1314_Mold burn</t>
  </si>
  <si>
    <t>1321_Terminal Bending</t>
  </si>
  <si>
    <t>1322_MC Jamming</t>
  </si>
  <si>
    <t>1331_Other</t>
  </si>
  <si>
    <t>1341_C NG</t>
  </si>
  <si>
    <t>1351_Lack NG</t>
  </si>
  <si>
    <t>1352_Excess NG</t>
  </si>
  <si>
    <t>1411_Terminal Bending</t>
  </si>
  <si>
    <t>1412_Lack NG</t>
  </si>
  <si>
    <t>1413_Excess NG</t>
  </si>
  <si>
    <t>1511_Terminal Bending</t>
  </si>
  <si>
    <t>1512_Lack NG</t>
  </si>
  <si>
    <t>1513_Excess NG</t>
  </si>
  <si>
    <t>1611_LC NG</t>
  </si>
  <si>
    <t>1621_Terminal Bend</t>
  </si>
  <si>
    <t>1631_Other</t>
  </si>
  <si>
    <t>1641_Lack NG</t>
  </si>
  <si>
    <t>1642_Excess NG</t>
  </si>
  <si>
    <t>1711_Liquid leak</t>
  </si>
  <si>
    <t>Appearance</t>
  </si>
  <si>
    <t>1721_Terminal Bend</t>
  </si>
  <si>
    <t>1722_Terminal Dirty/Rust</t>
  </si>
  <si>
    <t>1723_Terminal Burr</t>
  </si>
  <si>
    <t>1724_Resin flash at terminal</t>
  </si>
  <si>
    <t>1725_Terminal scratch</t>
  </si>
  <si>
    <t>1726_Hoop expose</t>
  </si>
  <si>
    <t>1731_Hole or Expose</t>
  </si>
  <si>
    <t>1732_Incomplete</t>
  </si>
  <si>
    <t>1733_Rough Surface</t>
  </si>
  <si>
    <t>1734_Dirty surface / Impurity</t>
  </si>
  <si>
    <t>1735_Hole on mark side</t>
  </si>
  <si>
    <t>1736_Shrinkage</t>
  </si>
  <si>
    <t>1737_Crack</t>
  </si>
  <si>
    <t>1738_Resin flash</t>
  </si>
  <si>
    <t>1741_Chip</t>
  </si>
  <si>
    <t>1742_Dent</t>
  </si>
  <si>
    <t>1743_Scratch</t>
  </si>
  <si>
    <t>1751_Closed Hole of pressurization pin</t>
  </si>
  <si>
    <t>1761_Other</t>
  </si>
  <si>
    <t>1771_Lack NG</t>
  </si>
  <si>
    <t>1772_Excess NG</t>
  </si>
  <si>
    <t>1811_SD</t>
  </si>
  <si>
    <t>1812_ESR</t>
  </si>
  <si>
    <t>1821_Marking</t>
  </si>
  <si>
    <t>1822_No marking</t>
  </si>
  <si>
    <t>1831_Mold melt (Halogen lamp)</t>
  </si>
  <si>
    <t>1832_Cutting</t>
  </si>
  <si>
    <t>1833_Transfer NG</t>
  </si>
  <si>
    <t>1834_Terminal Bending</t>
  </si>
  <si>
    <t>1835_MC Jamming</t>
  </si>
  <si>
    <t>1841_Send QA</t>
  </si>
  <si>
    <t>1851_Lack NG</t>
  </si>
  <si>
    <t>1852_Excess NG</t>
  </si>
  <si>
    <t>1911_Terminal Bending</t>
  </si>
  <si>
    <t>1912_Incomplete Cutting</t>
  </si>
  <si>
    <t>1921_Marking Peeled</t>
  </si>
  <si>
    <t>1931_MC Jamming</t>
  </si>
  <si>
    <t>1941_Other</t>
  </si>
  <si>
    <t>1951_Lack NG</t>
  </si>
  <si>
    <t>1952_Excess NG</t>
  </si>
  <si>
    <t>1961_Terminal bending</t>
  </si>
  <si>
    <t xml:space="preserve">1962_Terminal Inverse </t>
  </si>
  <si>
    <t>1963_Terminal Flash</t>
  </si>
  <si>
    <t>1964_No forming</t>
  </si>
  <si>
    <t>1965_Dim out spec</t>
  </si>
  <si>
    <t>1966_Other</t>
  </si>
  <si>
    <t>1971_Lack NG</t>
  </si>
  <si>
    <t>1972_Excess NG</t>
  </si>
  <si>
    <t>CAN</t>
  </si>
  <si>
    <t>2111_Element NG</t>
  </si>
  <si>
    <t>2112_Swaging NG</t>
  </si>
  <si>
    <t>2113_Terminal Bending</t>
  </si>
  <si>
    <t>2114_Product Buckling</t>
  </si>
  <si>
    <t>2115_Outer case dent</t>
  </si>
  <si>
    <t>2116_Terminal Lost</t>
  </si>
  <si>
    <t>2117_Other</t>
  </si>
  <si>
    <t>2121_Lack</t>
  </si>
  <si>
    <t>2211_Terminal Bending</t>
  </si>
  <si>
    <t>2221_Product Buckling</t>
  </si>
  <si>
    <t>2231_Lack</t>
  </si>
  <si>
    <t>2311_Resin Hole</t>
  </si>
  <si>
    <t>2312_Resin Bubble</t>
  </si>
  <si>
    <t>2313_Resin Climb up</t>
  </si>
  <si>
    <t>2321_Terminal Dirty</t>
  </si>
  <si>
    <t>2331_Other</t>
  </si>
  <si>
    <t>2341_Lack</t>
  </si>
  <si>
    <t>2411_Marking NG</t>
  </si>
  <si>
    <t>Other</t>
  </si>
  <si>
    <t>2412_Sleeve Short-length</t>
  </si>
  <si>
    <t>2413_Sleeve Shrinkage</t>
  </si>
  <si>
    <t>2414_Sleeve Splinter</t>
  </si>
  <si>
    <t>2415_Sleeve turn</t>
  </si>
  <si>
    <t>2416_Sleeve Hole/Scratch from Sleeve Insert</t>
  </si>
  <si>
    <t>2417_Sleeve Hole/Scratch from Panel Insert</t>
  </si>
  <si>
    <t>2421_Terminal Bending from Sleeve Insert</t>
  </si>
  <si>
    <t>2422_Terminal Bending from Panel Insert</t>
  </si>
  <si>
    <t>2423_Rust / Copper</t>
  </si>
  <si>
    <t>2431_Resin Bubble/Hole</t>
  </si>
  <si>
    <t>2432_Resin Dirty</t>
  </si>
  <si>
    <t>2433_Resin Over</t>
  </si>
  <si>
    <t>2434_Incomplete Resin</t>
  </si>
  <si>
    <t>2441_Outer case scratch</t>
  </si>
  <si>
    <t>2442_Insulator Crack</t>
  </si>
  <si>
    <t>2443_Incomplete swaging/Buckling</t>
  </si>
  <si>
    <t>2451_Lack</t>
  </si>
  <si>
    <t>2452_Lack</t>
  </si>
  <si>
    <t>2453_Lack</t>
  </si>
  <si>
    <t>2511_Cap NG</t>
  </si>
  <si>
    <t>2512_LC NG</t>
  </si>
  <si>
    <t>2521_Sleeve Problem</t>
  </si>
  <si>
    <t>2531_Terminal Problem</t>
  </si>
  <si>
    <t>2541_Other</t>
  </si>
  <si>
    <t>2551_Lack</t>
  </si>
  <si>
    <t>2611_SD</t>
  </si>
  <si>
    <t>2612_Polarity</t>
  </si>
  <si>
    <t>2613_Reverse Polar Check</t>
  </si>
  <si>
    <t>2614_ESR</t>
  </si>
  <si>
    <t>2621_Terminal Bending</t>
  </si>
  <si>
    <t>2631_Sleeve Problem</t>
  </si>
  <si>
    <t>2641_Other</t>
  </si>
  <si>
    <t>2651_Lack</t>
  </si>
  <si>
    <t>2711_Terminal Burr</t>
  </si>
  <si>
    <t>2712_Terminal Bending</t>
  </si>
  <si>
    <t>2713_Terminal Scratch</t>
  </si>
  <si>
    <t>2714_Terminal No Forming</t>
  </si>
  <si>
    <t>2715_Terminal Dim out spec</t>
  </si>
  <si>
    <t>2716_Terminal Inverse</t>
  </si>
  <si>
    <t>2721_Outer case scratch</t>
  </si>
  <si>
    <t>2722_Outer case Dirty</t>
  </si>
  <si>
    <t>2731_Sleeve Open</t>
  </si>
  <si>
    <t>2732_Sleeve Scratch</t>
  </si>
  <si>
    <t>2733_Short length</t>
  </si>
  <si>
    <t>2734_Sleeve tear</t>
  </si>
  <si>
    <t>2735_Sleeve hole</t>
  </si>
  <si>
    <t>2741_Other</t>
  </si>
  <si>
    <t>2751_Lack</t>
  </si>
  <si>
    <t>FC</t>
  </si>
  <si>
    <t>3111_Terminal Bending</t>
  </si>
  <si>
    <t>3121_Swaging NG</t>
  </si>
  <si>
    <t>3131_Element NG</t>
  </si>
  <si>
    <t>3141_Lack</t>
  </si>
  <si>
    <t>3211_Marking</t>
  </si>
  <si>
    <t>3212_Plate Crack</t>
  </si>
  <si>
    <t>3213_Terminal Bending</t>
  </si>
  <si>
    <t>3214_Polarity</t>
  </si>
  <si>
    <t>3221_L-Terminal</t>
  </si>
  <si>
    <t>3222_L-Plate</t>
  </si>
  <si>
    <t>3231_C-Upper</t>
  </si>
  <si>
    <t>3232_C-Lower</t>
  </si>
  <si>
    <t xml:space="preserve">3241_Terminal bending on bowl feeder </t>
  </si>
  <si>
    <t>3242_Product drop in m/c</t>
  </si>
  <si>
    <t xml:space="preserve">3243_Marking on resin plate </t>
  </si>
  <si>
    <t xml:space="preserve">3244_Terminal swell </t>
  </si>
  <si>
    <t xml:space="preserve">3245_New case </t>
  </si>
  <si>
    <t>3251_Lack</t>
  </si>
  <si>
    <t>3311_Lack</t>
  </si>
  <si>
    <t>3312_Lack</t>
  </si>
  <si>
    <t>3411_Hi LC</t>
  </si>
  <si>
    <t>3412_Lo LC</t>
  </si>
  <si>
    <t>3421_Other</t>
  </si>
  <si>
    <t>3431_Lack</t>
  </si>
  <si>
    <t>3511_SD</t>
  </si>
  <si>
    <t>3521_Other</t>
  </si>
  <si>
    <t>3531_Lack</t>
  </si>
  <si>
    <t>3611_ESR NG</t>
  </si>
  <si>
    <t>3621_Marking NG</t>
  </si>
  <si>
    <t>3622_L-Dimension NG</t>
  </si>
  <si>
    <t>3623_Plate App NG</t>
  </si>
  <si>
    <t>3631_QA Test</t>
  </si>
  <si>
    <t>3641_Lack</t>
  </si>
  <si>
    <t>1 Jul'26</t>
  </si>
  <si>
    <t>2 Jul'26</t>
  </si>
  <si>
    <t>Input</t>
  </si>
  <si>
    <t>Assembly Def</t>
  </si>
  <si>
    <t>C Def</t>
  </si>
  <si>
    <t>LC Def</t>
  </si>
  <si>
    <t>SD Def</t>
  </si>
  <si>
    <t>TOTAL SC</t>
  </si>
  <si>
    <t>Date</t>
  </si>
  <si>
    <t>% Assembly</t>
  </si>
  <si>
    <t>% C</t>
  </si>
  <si>
    <t>1 Ju'26</t>
  </si>
  <si>
    <t>SW&amp;Mold &lt;Change to&gt; Assembly</t>
  </si>
  <si>
    <t>App 1</t>
  </si>
  <si>
    <t>App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</si>
</sst>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14"/>
      <name val="Calibri"/>
    </font>
    <font>
      <b/>
      <i/>
      <color rgb="FF00B0F0"/>
      <family val="2"/>
      <sz val="10"/>
      <name val="Arial"/>
    </font>
    <font>
      <b/>
      <i/>
      <color rgb="FF00B0F0"/>
      <family val="2"/>
      <sz val="9"/>
      <name val="Arial"/>
    </font>
    <font>
      <color rgb="FFFF0000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1" fontId="3" fillId="0" borderId="3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2">
    <dxf>
      <font>
        <color rgb="FFFF000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3"/>
  <sheetViews>
    <sheetView workbookViewId="0" zoomScale="100" zoomScaleNormal="100">
      <selection activeCell="D7" sqref="D7"/>
    </sheetView>
  </sheetViews>
  <sheetFormatPr defaultRowHeight="14.5" outlineLevelRow="0" outlineLevelCol="0" x14ac:dyDescent="0.35" customHeight="1"/>
  <cols>
    <col min="1" max="1" width="8.7265625" style="1" customWidth="1"/>
    <col min="2" max="2" width="38.36328125" customWidth="1"/>
    <col min="3" max="3" width="20.81640625" style="2" customWidth="1"/>
    <col min="4" max="4" width="30.36328125" customWidth="1"/>
    <col min="7" max="7" width="30.81640625" customWidth="1"/>
  </cols>
  <sheetData>
    <row r="1" ht="19" customHeight="1" spans="1:7" x14ac:dyDescent="0.25">
      <c r="A1" s="3" t="s">
        <v>0</v>
      </c>
      <c r="B1" s="3" t="s">
        <v>1</v>
      </c>
      <c r="C1" s="3" t="s">
        <v>2</v>
      </c>
      <c r="D1" s="3" t="s">
        <v>3</v>
      </c>
      <c r="G1" s="4" t="s">
        <v>1</v>
      </c>
    </row>
    <row r="2" ht="15" customHeight="1" spans="1:7" x14ac:dyDescent="0.25">
      <c r="A2" s="3" t="s">
        <v>4</v>
      </c>
      <c r="B2" s="5" t="s">
        <v>5</v>
      </c>
      <c r="C2" s="6" t="s">
        <v>6</v>
      </c>
      <c r="D2" s="5"/>
      <c r="G2" s="7" t="s">
        <v>7</v>
      </c>
    </row>
    <row r="3" spans="1:7" x14ac:dyDescent="0.25">
      <c r="A3" s="3" t="s">
        <v>4</v>
      </c>
      <c r="B3" s="5" t="s">
        <v>8</v>
      </c>
      <c r="C3" s="6" t="s">
        <v>6</v>
      </c>
      <c r="D3" s="5"/>
      <c r="E3" t="s">
        <v>9</v>
      </c>
      <c r="F3">
        <f>COUNTIF(C2:C193,"Y")</f>
        <v>121</v>
      </c>
      <c r="G3" s="8" t="s">
        <v>10</v>
      </c>
    </row>
    <row r="4" spans="1:7" x14ac:dyDescent="0.25">
      <c r="A4" s="3" t="s">
        <v>4</v>
      </c>
      <c r="B4" s="5" t="s">
        <v>11</v>
      </c>
      <c r="C4" s="6" t="s">
        <v>6</v>
      </c>
      <c r="D4" s="5"/>
      <c r="E4" t="s">
        <v>6</v>
      </c>
      <c r="F4">
        <f>COUNTIF(C2:C193,"N")</f>
        <v>71</v>
      </c>
      <c r="G4" s="8" t="s">
        <v>12</v>
      </c>
    </row>
    <row r="5" spans="1:7" x14ac:dyDescent="0.25">
      <c r="A5" s="3" t="s">
        <v>4</v>
      </c>
      <c r="B5" s="5" t="s">
        <v>13</v>
      </c>
      <c r="C5" s="6" t="s">
        <v>6</v>
      </c>
      <c r="D5" s="5"/>
      <c r="G5" s="8" t="s">
        <v>14</v>
      </c>
    </row>
    <row r="6" spans="1:7" x14ac:dyDescent="0.25">
      <c r="A6" s="3" t="s">
        <v>4</v>
      </c>
      <c r="B6" s="5" t="s">
        <v>15</v>
      </c>
      <c r="C6" s="6" t="s">
        <v>6</v>
      </c>
      <c r="D6" s="5"/>
      <c r="G6" s="8" t="s">
        <v>16</v>
      </c>
    </row>
    <row r="7" spans="1:7" x14ac:dyDescent="0.25">
      <c r="A7" s="3" t="s">
        <v>4</v>
      </c>
      <c r="B7" s="5" t="s">
        <v>17</v>
      </c>
      <c r="C7" s="6" t="s">
        <v>9</v>
      </c>
      <c r="D7" s="5" t="s">
        <v>7</v>
      </c>
      <c r="G7" s="9" t="s">
        <v>18</v>
      </c>
    </row>
    <row r="8" spans="1:7" x14ac:dyDescent="0.25">
      <c r="A8" s="3" t="s">
        <v>4</v>
      </c>
      <c r="B8" s="5" t="s">
        <v>19</v>
      </c>
      <c r="C8" s="6" t="s">
        <v>9</v>
      </c>
      <c r="D8" s="5" t="s">
        <v>7</v>
      </c>
      <c r="G8" s="9"/>
    </row>
    <row r="9" spans="1:4" x14ac:dyDescent="0.25">
      <c r="A9" s="3" t="s">
        <v>4</v>
      </c>
      <c r="B9" s="5" t="s">
        <v>20</v>
      </c>
      <c r="C9" s="6" t="s">
        <v>9</v>
      </c>
      <c r="D9" s="5" t="s">
        <v>7</v>
      </c>
    </row>
    <row r="10" spans="1:4" x14ac:dyDescent="0.25">
      <c r="A10" s="3" t="s">
        <v>4</v>
      </c>
      <c r="B10" s="5" t="s">
        <v>21</v>
      </c>
      <c r="C10" s="6" t="s">
        <v>9</v>
      </c>
      <c r="D10" s="5" t="s">
        <v>7</v>
      </c>
    </row>
    <row r="11" spans="1:4" x14ac:dyDescent="0.25">
      <c r="A11" s="3" t="s">
        <v>4</v>
      </c>
      <c r="B11" s="5" t="s">
        <v>22</v>
      </c>
      <c r="C11" s="6" t="s">
        <v>9</v>
      </c>
      <c r="D11" s="5" t="s">
        <v>7</v>
      </c>
    </row>
    <row r="12" spans="1:4" x14ac:dyDescent="0.25">
      <c r="A12" s="3" t="s">
        <v>4</v>
      </c>
      <c r="B12" s="5" t="s">
        <v>23</v>
      </c>
      <c r="C12" s="6" t="s">
        <v>9</v>
      </c>
      <c r="D12" s="5" t="s">
        <v>7</v>
      </c>
    </row>
    <row r="13" spans="1:4" x14ac:dyDescent="0.25">
      <c r="A13" s="3" t="s">
        <v>4</v>
      </c>
      <c r="B13" s="5" t="s">
        <v>24</v>
      </c>
      <c r="C13" s="6" t="s">
        <v>9</v>
      </c>
      <c r="D13" s="5" t="s">
        <v>7</v>
      </c>
    </row>
    <row r="14" spans="1:4" x14ac:dyDescent="0.25">
      <c r="A14" s="3" t="s">
        <v>4</v>
      </c>
      <c r="B14" s="5" t="s">
        <v>25</v>
      </c>
      <c r="C14" s="6" t="s">
        <v>9</v>
      </c>
      <c r="D14" s="5" t="s">
        <v>7</v>
      </c>
    </row>
    <row r="15" spans="1:4" x14ac:dyDescent="0.25">
      <c r="A15" s="3" t="s">
        <v>4</v>
      </c>
      <c r="B15" s="5" t="s">
        <v>26</v>
      </c>
      <c r="C15" s="6" t="s">
        <v>9</v>
      </c>
      <c r="D15" s="5" t="s">
        <v>7</v>
      </c>
    </row>
    <row r="16" spans="1:4" x14ac:dyDescent="0.25">
      <c r="A16" s="3" t="s">
        <v>4</v>
      </c>
      <c r="B16" s="5" t="s">
        <v>27</v>
      </c>
      <c r="C16" s="6" t="s">
        <v>9</v>
      </c>
      <c r="D16" s="5" t="s">
        <v>7</v>
      </c>
    </row>
    <row r="17" spans="1:4" x14ac:dyDescent="0.25">
      <c r="A17" s="3" t="s">
        <v>4</v>
      </c>
      <c r="B17" s="5" t="s">
        <v>28</v>
      </c>
      <c r="C17" s="6" t="s">
        <v>9</v>
      </c>
      <c r="D17" s="5" t="s">
        <v>7</v>
      </c>
    </row>
    <row r="18" spans="1:4" x14ac:dyDescent="0.25">
      <c r="A18" s="3" t="s">
        <v>4</v>
      </c>
      <c r="B18" s="5" t="s">
        <v>29</v>
      </c>
      <c r="C18" s="6" t="s">
        <v>9</v>
      </c>
      <c r="D18" s="5" t="s">
        <v>7</v>
      </c>
    </row>
    <row r="19" spans="1:4" x14ac:dyDescent="0.25">
      <c r="A19" s="3" t="s">
        <v>4</v>
      </c>
      <c r="B19" s="5" t="s">
        <v>30</v>
      </c>
      <c r="C19" s="6" t="s">
        <v>9</v>
      </c>
      <c r="D19" s="5" t="s">
        <v>7</v>
      </c>
    </row>
    <row r="20" spans="1:4" x14ac:dyDescent="0.25">
      <c r="A20" s="3" t="s">
        <v>4</v>
      </c>
      <c r="B20" s="5" t="s">
        <v>31</v>
      </c>
      <c r="C20" s="6" t="s">
        <v>9</v>
      </c>
      <c r="D20" s="5" t="s">
        <v>7</v>
      </c>
    </row>
    <row r="21" spans="1:4" x14ac:dyDescent="0.25">
      <c r="A21" s="3" t="s">
        <v>4</v>
      </c>
      <c r="B21" s="5" t="s">
        <v>32</v>
      </c>
      <c r="C21" s="6" t="s">
        <v>9</v>
      </c>
      <c r="D21" s="5" t="s">
        <v>7</v>
      </c>
    </row>
    <row r="22" spans="1:4" x14ac:dyDescent="0.25">
      <c r="A22" s="3" t="s">
        <v>4</v>
      </c>
      <c r="B22" s="5" t="s">
        <v>33</v>
      </c>
      <c r="C22" s="6" t="s">
        <v>6</v>
      </c>
      <c r="D22" s="5"/>
    </row>
    <row r="23" spans="1:4" x14ac:dyDescent="0.25">
      <c r="A23" s="3" t="s">
        <v>4</v>
      </c>
      <c r="B23" s="5" t="s">
        <v>34</v>
      </c>
      <c r="C23" s="6" t="s">
        <v>6</v>
      </c>
      <c r="D23" s="5"/>
    </row>
    <row r="24" spans="1:4" x14ac:dyDescent="0.25">
      <c r="A24" s="3" t="s">
        <v>4</v>
      </c>
      <c r="B24" s="5" t="s">
        <v>35</v>
      </c>
      <c r="C24" s="6" t="s">
        <v>6</v>
      </c>
      <c r="D24" s="5"/>
    </row>
    <row r="25" spans="1:4" x14ac:dyDescent="0.25">
      <c r="A25" s="3" t="s">
        <v>4</v>
      </c>
      <c r="B25" s="5" t="s">
        <v>36</v>
      </c>
      <c r="C25" s="6" t="s">
        <v>9</v>
      </c>
      <c r="D25" s="5" t="s">
        <v>7</v>
      </c>
    </row>
    <row r="26" spans="1:4" x14ac:dyDescent="0.25">
      <c r="A26" s="3" t="s">
        <v>4</v>
      </c>
      <c r="B26" s="5" t="s">
        <v>37</v>
      </c>
      <c r="C26" s="6" t="s">
        <v>9</v>
      </c>
      <c r="D26" s="5" t="s">
        <v>7</v>
      </c>
    </row>
    <row r="27" spans="1:4" x14ac:dyDescent="0.25">
      <c r="A27" s="3" t="s">
        <v>4</v>
      </c>
      <c r="B27" s="5" t="s">
        <v>38</v>
      </c>
      <c r="C27" s="6" t="s">
        <v>9</v>
      </c>
      <c r="D27" s="5" t="s">
        <v>7</v>
      </c>
    </row>
    <row r="28" spans="1:4" x14ac:dyDescent="0.25">
      <c r="A28" s="3" t="s">
        <v>4</v>
      </c>
      <c r="B28" s="5" t="s">
        <v>39</v>
      </c>
      <c r="C28" s="6" t="s">
        <v>9</v>
      </c>
      <c r="D28" s="5" t="s">
        <v>7</v>
      </c>
    </row>
    <row r="29" spans="1:4" x14ac:dyDescent="0.25">
      <c r="A29" s="3" t="s">
        <v>4</v>
      </c>
      <c r="B29" s="5" t="s">
        <v>40</v>
      </c>
      <c r="C29" s="6" t="s">
        <v>9</v>
      </c>
      <c r="D29" s="5" t="s">
        <v>7</v>
      </c>
    </row>
    <row r="30" spans="1:4" x14ac:dyDescent="0.25">
      <c r="A30" s="3" t="s">
        <v>4</v>
      </c>
      <c r="B30" s="5" t="s">
        <v>41</v>
      </c>
      <c r="C30" s="6" t="s">
        <v>6</v>
      </c>
      <c r="D30" s="5"/>
    </row>
    <row r="31" spans="1:4" x14ac:dyDescent="0.25">
      <c r="A31" s="3" t="s">
        <v>4</v>
      </c>
      <c r="B31" s="5" t="s">
        <v>42</v>
      </c>
      <c r="C31" s="6" t="s">
        <v>6</v>
      </c>
      <c r="D31" s="5"/>
    </row>
    <row r="32" spans="1:4" x14ac:dyDescent="0.25">
      <c r="A32" s="3" t="s">
        <v>4</v>
      </c>
      <c r="B32" s="5" t="s">
        <v>43</v>
      </c>
      <c r="C32" s="6" t="s">
        <v>9</v>
      </c>
      <c r="D32" s="5" t="s">
        <v>10</v>
      </c>
    </row>
    <row r="33" spans="1:4" x14ac:dyDescent="0.25">
      <c r="A33" s="3" t="s">
        <v>4</v>
      </c>
      <c r="B33" s="5" t="s">
        <v>44</v>
      </c>
      <c r="C33" s="6" t="s">
        <v>6</v>
      </c>
      <c r="D33" s="5"/>
    </row>
    <row r="34" spans="1:4" x14ac:dyDescent="0.25">
      <c r="A34" s="3" t="s">
        <v>4</v>
      </c>
      <c r="B34" s="5" t="s">
        <v>45</v>
      </c>
      <c r="C34" s="6" t="s">
        <v>6</v>
      </c>
      <c r="D34" s="5"/>
    </row>
    <row r="35" spans="1:4" x14ac:dyDescent="0.25">
      <c r="A35" s="3" t="s">
        <v>4</v>
      </c>
      <c r="B35" s="5" t="s">
        <v>46</v>
      </c>
      <c r="C35" s="6" t="s">
        <v>6</v>
      </c>
      <c r="D35" s="5"/>
    </row>
    <row r="36" spans="1:4" x14ac:dyDescent="0.25">
      <c r="A36" s="3" t="s">
        <v>4</v>
      </c>
      <c r="B36" s="5" t="s">
        <v>47</v>
      </c>
      <c r="C36" s="6" t="s">
        <v>6</v>
      </c>
      <c r="D36" s="5"/>
    </row>
    <row r="37" spans="1:4" x14ac:dyDescent="0.25">
      <c r="A37" s="3" t="s">
        <v>4</v>
      </c>
      <c r="B37" s="5" t="s">
        <v>48</v>
      </c>
      <c r="C37" s="6" t="s">
        <v>6</v>
      </c>
      <c r="D37" s="5"/>
    </row>
    <row r="38" spans="1:4" x14ac:dyDescent="0.25">
      <c r="A38" s="3" t="s">
        <v>4</v>
      </c>
      <c r="B38" s="5" t="s">
        <v>49</v>
      </c>
      <c r="C38" s="6" t="s">
        <v>6</v>
      </c>
      <c r="D38" s="5"/>
    </row>
    <row r="39" spans="1:4" x14ac:dyDescent="0.25">
      <c r="A39" s="3" t="s">
        <v>4</v>
      </c>
      <c r="B39" s="5" t="s">
        <v>50</v>
      </c>
      <c r="C39" s="6" t="s">
        <v>6</v>
      </c>
      <c r="D39" s="5"/>
    </row>
    <row r="40" spans="1:4" x14ac:dyDescent="0.25">
      <c r="A40" s="3" t="s">
        <v>4</v>
      </c>
      <c r="B40" s="5" t="s">
        <v>51</v>
      </c>
      <c r="C40" s="6" t="s">
        <v>6</v>
      </c>
      <c r="D40" s="5"/>
    </row>
    <row r="41" spans="1:4" x14ac:dyDescent="0.25">
      <c r="A41" s="3" t="s">
        <v>4</v>
      </c>
      <c r="B41" s="5" t="s">
        <v>52</v>
      </c>
      <c r="C41" s="6" t="s">
        <v>9</v>
      </c>
      <c r="D41" s="5" t="s">
        <v>12</v>
      </c>
    </row>
    <row r="42" spans="1:4" x14ac:dyDescent="0.25">
      <c r="A42" s="3" t="s">
        <v>4</v>
      </c>
      <c r="B42" s="5" t="s">
        <v>53</v>
      </c>
      <c r="C42" s="6" t="s">
        <v>6</v>
      </c>
      <c r="D42" s="5"/>
    </row>
    <row r="43" spans="1:4" x14ac:dyDescent="0.25">
      <c r="A43" s="3" t="s">
        <v>4</v>
      </c>
      <c r="B43" s="5" t="s">
        <v>54</v>
      </c>
      <c r="C43" s="6" t="s">
        <v>6</v>
      </c>
      <c r="D43" s="5"/>
    </row>
    <row r="44" spans="1:4" x14ac:dyDescent="0.25">
      <c r="A44" s="3" t="s">
        <v>4</v>
      </c>
      <c r="B44" s="5" t="s">
        <v>55</v>
      </c>
      <c r="C44" s="6" t="s">
        <v>6</v>
      </c>
      <c r="D44" s="5"/>
    </row>
    <row r="45" spans="1:4" x14ac:dyDescent="0.25">
      <c r="A45" s="3" t="s">
        <v>4</v>
      </c>
      <c r="B45" s="5" t="s">
        <v>56</v>
      </c>
      <c r="C45" s="6" t="s">
        <v>6</v>
      </c>
      <c r="D45" s="5"/>
    </row>
    <row r="46" spans="1:4" x14ac:dyDescent="0.25">
      <c r="A46" s="3" t="s">
        <v>4</v>
      </c>
      <c r="B46" s="5" t="s">
        <v>57</v>
      </c>
      <c r="C46" s="6" t="s">
        <v>9</v>
      </c>
      <c r="D46" s="5" t="s">
        <v>58</v>
      </c>
    </row>
    <row r="47" spans="1:4" x14ac:dyDescent="0.25">
      <c r="A47" s="3" t="s">
        <v>4</v>
      </c>
      <c r="B47" s="5" t="s">
        <v>59</v>
      </c>
      <c r="C47" s="6" t="s">
        <v>9</v>
      </c>
      <c r="D47" s="5" t="s">
        <v>58</v>
      </c>
    </row>
    <row r="48" spans="1:4" x14ac:dyDescent="0.25">
      <c r="A48" s="3" t="s">
        <v>4</v>
      </c>
      <c r="B48" s="5" t="s">
        <v>60</v>
      </c>
      <c r="C48" s="6" t="s">
        <v>9</v>
      </c>
      <c r="D48" s="5" t="s">
        <v>58</v>
      </c>
    </row>
    <row r="49" spans="1:4" x14ac:dyDescent="0.25">
      <c r="A49" s="3" t="s">
        <v>4</v>
      </c>
      <c r="B49" s="5" t="s">
        <v>61</v>
      </c>
      <c r="C49" s="6" t="s">
        <v>9</v>
      </c>
      <c r="D49" s="5" t="s">
        <v>58</v>
      </c>
    </row>
    <row r="50" spans="1:4" x14ac:dyDescent="0.25">
      <c r="A50" s="3" t="s">
        <v>4</v>
      </c>
      <c r="B50" s="5" t="s">
        <v>62</v>
      </c>
      <c r="C50" s="6" t="s">
        <v>9</v>
      </c>
      <c r="D50" s="5" t="s">
        <v>58</v>
      </c>
    </row>
    <row r="51" spans="1:4" x14ac:dyDescent="0.25">
      <c r="A51" s="3" t="s">
        <v>4</v>
      </c>
      <c r="B51" s="5" t="s">
        <v>63</v>
      </c>
      <c r="C51" s="6" t="s">
        <v>9</v>
      </c>
      <c r="D51" s="5" t="s">
        <v>58</v>
      </c>
    </row>
    <row r="52" spans="1:4" x14ac:dyDescent="0.25">
      <c r="A52" s="3" t="s">
        <v>4</v>
      </c>
      <c r="B52" s="5" t="s">
        <v>64</v>
      </c>
      <c r="C52" s="6" t="s">
        <v>9</v>
      </c>
      <c r="D52" s="5" t="s">
        <v>58</v>
      </c>
    </row>
    <row r="53" spans="1:4" x14ac:dyDescent="0.25">
      <c r="A53" s="3" t="s">
        <v>4</v>
      </c>
      <c r="B53" s="5" t="s">
        <v>65</v>
      </c>
      <c r="C53" s="6" t="s">
        <v>9</v>
      </c>
      <c r="D53" s="5" t="s">
        <v>58</v>
      </c>
    </row>
    <row r="54" spans="1:4" x14ac:dyDescent="0.25">
      <c r="A54" s="3" t="s">
        <v>4</v>
      </c>
      <c r="B54" s="5" t="s">
        <v>66</v>
      </c>
      <c r="C54" s="6" t="s">
        <v>9</v>
      </c>
      <c r="D54" s="5" t="s">
        <v>58</v>
      </c>
    </row>
    <row r="55" spans="1:4" x14ac:dyDescent="0.25">
      <c r="A55" s="3" t="s">
        <v>4</v>
      </c>
      <c r="B55" s="5" t="s">
        <v>67</v>
      </c>
      <c r="C55" s="6" t="s">
        <v>9</v>
      </c>
      <c r="D55" s="5" t="s">
        <v>58</v>
      </c>
    </row>
    <row r="56" spans="1:4" x14ac:dyDescent="0.25">
      <c r="A56" s="3" t="s">
        <v>4</v>
      </c>
      <c r="B56" s="5" t="s">
        <v>68</v>
      </c>
      <c r="C56" s="6" t="s">
        <v>9</v>
      </c>
      <c r="D56" s="5" t="s">
        <v>58</v>
      </c>
    </row>
    <row r="57" spans="1:4" x14ac:dyDescent="0.25">
      <c r="A57" s="3" t="s">
        <v>4</v>
      </c>
      <c r="B57" s="5" t="s">
        <v>69</v>
      </c>
      <c r="C57" s="6" t="s">
        <v>9</v>
      </c>
      <c r="D57" s="5" t="s">
        <v>58</v>
      </c>
    </row>
    <row r="58" spans="1:4" x14ac:dyDescent="0.25">
      <c r="A58" s="3" t="s">
        <v>4</v>
      </c>
      <c r="B58" s="5" t="s">
        <v>70</v>
      </c>
      <c r="C58" s="6" t="s">
        <v>9</v>
      </c>
      <c r="D58" s="5" t="s">
        <v>58</v>
      </c>
    </row>
    <row r="59" spans="1:4" x14ac:dyDescent="0.25">
      <c r="A59" s="3" t="s">
        <v>4</v>
      </c>
      <c r="B59" s="5" t="s">
        <v>71</v>
      </c>
      <c r="C59" s="6" t="s">
        <v>9</v>
      </c>
      <c r="D59" s="5" t="s">
        <v>58</v>
      </c>
    </row>
    <row r="60" spans="1:4" x14ac:dyDescent="0.25">
      <c r="A60" s="3" t="s">
        <v>4</v>
      </c>
      <c r="B60" s="5" t="s">
        <v>72</v>
      </c>
      <c r="C60" s="6" t="s">
        <v>9</v>
      </c>
      <c r="D60" s="5" t="s">
        <v>58</v>
      </c>
    </row>
    <row r="61" spans="1:4" x14ac:dyDescent="0.25">
      <c r="A61" s="3" t="s">
        <v>4</v>
      </c>
      <c r="B61" s="5" t="s">
        <v>73</v>
      </c>
      <c r="C61" s="6" t="s">
        <v>9</v>
      </c>
      <c r="D61" s="5" t="s">
        <v>58</v>
      </c>
    </row>
    <row r="62" spans="1:4" x14ac:dyDescent="0.25">
      <c r="A62" s="3" t="s">
        <v>4</v>
      </c>
      <c r="B62" s="5" t="s">
        <v>74</v>
      </c>
      <c r="C62" s="6" t="s">
        <v>9</v>
      </c>
      <c r="D62" s="5" t="s">
        <v>58</v>
      </c>
    </row>
    <row r="63" spans="1:4" x14ac:dyDescent="0.25">
      <c r="A63" s="3" t="s">
        <v>4</v>
      </c>
      <c r="B63" s="5" t="s">
        <v>75</v>
      </c>
      <c r="C63" s="6" t="s">
        <v>9</v>
      </c>
      <c r="D63" s="5" t="s">
        <v>58</v>
      </c>
    </row>
    <row r="64" spans="1:4" x14ac:dyDescent="0.25">
      <c r="A64" s="3" t="s">
        <v>4</v>
      </c>
      <c r="B64" s="5" t="s">
        <v>76</v>
      </c>
      <c r="C64" s="6" t="s">
        <v>6</v>
      </c>
      <c r="D64" s="5"/>
    </row>
    <row r="65" spans="1:4" x14ac:dyDescent="0.25">
      <c r="A65" s="3" t="s">
        <v>4</v>
      </c>
      <c r="B65" s="5" t="s">
        <v>77</v>
      </c>
      <c r="C65" s="6" t="s">
        <v>6</v>
      </c>
      <c r="D65" s="5"/>
    </row>
    <row r="66" spans="1:4" x14ac:dyDescent="0.25">
      <c r="A66" s="3" t="s">
        <v>4</v>
      </c>
      <c r="B66" s="5" t="s">
        <v>78</v>
      </c>
      <c r="C66" s="6" t="s">
        <v>6</v>
      </c>
      <c r="D66" s="5"/>
    </row>
    <row r="67" spans="1:4" x14ac:dyDescent="0.25">
      <c r="A67" s="3" t="s">
        <v>4</v>
      </c>
      <c r="B67" s="5" t="s">
        <v>79</v>
      </c>
      <c r="C67" s="6" t="s">
        <v>6</v>
      </c>
      <c r="D67" s="5"/>
    </row>
    <row r="68" spans="1:4" x14ac:dyDescent="0.25">
      <c r="A68" s="3" t="s">
        <v>4</v>
      </c>
      <c r="B68" s="5" t="s">
        <v>80</v>
      </c>
      <c r="C68" s="6" t="s">
        <v>9</v>
      </c>
      <c r="D68" s="5" t="s">
        <v>14</v>
      </c>
    </row>
    <row r="69" spans="1:4" x14ac:dyDescent="0.25">
      <c r="A69" s="3" t="s">
        <v>4</v>
      </c>
      <c r="B69" s="5" t="s">
        <v>81</v>
      </c>
      <c r="C69" s="6" t="s">
        <v>9</v>
      </c>
      <c r="D69" s="5" t="s">
        <v>16</v>
      </c>
    </row>
    <row r="70" spans="1:4" x14ac:dyDescent="0.25">
      <c r="A70" s="3" t="s">
        <v>4</v>
      </c>
      <c r="B70" s="5" t="s">
        <v>82</v>
      </c>
      <c r="C70" s="6" t="s">
        <v>9</v>
      </c>
      <c r="D70" s="5" t="s">
        <v>58</v>
      </c>
    </row>
    <row r="71" spans="1:4" x14ac:dyDescent="0.25">
      <c r="A71" s="3" t="s">
        <v>4</v>
      </c>
      <c r="B71" s="5" t="s">
        <v>83</v>
      </c>
      <c r="C71" s="6" t="s">
        <v>6</v>
      </c>
      <c r="D71" s="5"/>
    </row>
    <row r="72" spans="1:4" x14ac:dyDescent="0.25">
      <c r="A72" s="3" t="s">
        <v>4</v>
      </c>
      <c r="B72" s="5" t="s">
        <v>84</v>
      </c>
      <c r="C72" s="6" t="s">
        <v>6</v>
      </c>
      <c r="D72" s="5"/>
    </row>
    <row r="73" spans="1:4" x14ac:dyDescent="0.25">
      <c r="A73" s="3" t="s">
        <v>4</v>
      </c>
      <c r="B73" s="5" t="s">
        <v>85</v>
      </c>
      <c r="C73" s="6" t="s">
        <v>6</v>
      </c>
      <c r="D73" s="5"/>
    </row>
    <row r="74" spans="1:4" x14ac:dyDescent="0.25">
      <c r="A74" s="3" t="s">
        <v>4</v>
      </c>
      <c r="B74" s="5" t="s">
        <v>86</v>
      </c>
      <c r="C74" s="6" t="s">
        <v>6</v>
      </c>
      <c r="D74" s="5"/>
    </row>
    <row r="75" spans="1:4" x14ac:dyDescent="0.25">
      <c r="A75" s="3" t="s">
        <v>4</v>
      </c>
      <c r="B75" s="5" t="s">
        <v>87</v>
      </c>
      <c r="C75" s="6" t="s">
        <v>6</v>
      </c>
      <c r="D75" s="5"/>
    </row>
    <row r="76" spans="1:4" x14ac:dyDescent="0.25">
      <c r="A76" s="3" t="s">
        <v>4</v>
      </c>
      <c r="B76" s="5" t="s">
        <v>88</v>
      </c>
      <c r="C76" s="6" t="s">
        <v>6</v>
      </c>
      <c r="D76" s="5"/>
    </row>
    <row r="77" spans="1:4" x14ac:dyDescent="0.25">
      <c r="A77" s="3" t="s">
        <v>4</v>
      </c>
      <c r="B77" s="5" t="s">
        <v>89</v>
      </c>
      <c r="C77" s="6" t="s">
        <v>6</v>
      </c>
      <c r="D77" s="5"/>
    </row>
    <row r="78" spans="1:4" x14ac:dyDescent="0.25">
      <c r="A78" s="3" t="s">
        <v>4</v>
      </c>
      <c r="B78" s="5" t="s">
        <v>90</v>
      </c>
      <c r="C78" s="6" t="s">
        <v>6</v>
      </c>
      <c r="D78" s="5"/>
    </row>
    <row r="79" spans="1:4" x14ac:dyDescent="0.25">
      <c r="A79" s="3" t="s">
        <v>4</v>
      </c>
      <c r="B79" s="5" t="s">
        <v>91</v>
      </c>
      <c r="C79" s="6" t="s">
        <v>6</v>
      </c>
      <c r="D79" s="5"/>
    </row>
    <row r="80" spans="1:4" x14ac:dyDescent="0.25">
      <c r="A80" s="3" t="s">
        <v>4</v>
      </c>
      <c r="B80" s="5" t="s">
        <v>92</v>
      </c>
      <c r="C80" s="6" t="s">
        <v>9</v>
      </c>
      <c r="D80" s="5" t="s">
        <v>58</v>
      </c>
    </row>
    <row r="81" spans="1:4" x14ac:dyDescent="0.25">
      <c r="A81" s="3" t="s">
        <v>4</v>
      </c>
      <c r="B81" s="5" t="s">
        <v>93</v>
      </c>
      <c r="C81" s="6" t="s">
        <v>9</v>
      </c>
      <c r="D81" s="5" t="s">
        <v>58</v>
      </c>
    </row>
    <row r="82" spans="1:4" x14ac:dyDescent="0.25">
      <c r="A82" s="3" t="s">
        <v>4</v>
      </c>
      <c r="B82" s="5" t="s">
        <v>94</v>
      </c>
      <c r="C82" s="6" t="s">
        <v>9</v>
      </c>
      <c r="D82" s="5" t="s">
        <v>58</v>
      </c>
    </row>
    <row r="83" spans="1:4" x14ac:dyDescent="0.25">
      <c r="A83" s="3" t="s">
        <v>4</v>
      </c>
      <c r="B83" s="5" t="s">
        <v>95</v>
      </c>
      <c r="C83" s="6" t="s">
        <v>6</v>
      </c>
      <c r="D83" s="5"/>
    </row>
    <row r="84" spans="1:4" x14ac:dyDescent="0.25">
      <c r="A84" s="3" t="s">
        <v>4</v>
      </c>
      <c r="B84" s="5" t="s">
        <v>96</v>
      </c>
      <c r="C84" s="6" t="s">
        <v>6</v>
      </c>
      <c r="D84" s="5"/>
    </row>
    <row r="85" spans="1:4" x14ac:dyDescent="0.25">
      <c r="A85" s="3" t="s">
        <v>4</v>
      </c>
      <c r="B85" s="5" t="s">
        <v>97</v>
      </c>
      <c r="C85" s="6" t="s">
        <v>6</v>
      </c>
      <c r="D85" s="5"/>
    </row>
    <row r="86" spans="1:4" x14ac:dyDescent="0.25">
      <c r="A86" s="3" t="s">
        <v>4</v>
      </c>
      <c r="B86" s="5" t="s">
        <v>98</v>
      </c>
      <c r="C86" s="6" t="s">
        <v>6</v>
      </c>
      <c r="D86" s="5"/>
    </row>
    <row r="87" spans="1:4" x14ac:dyDescent="0.25">
      <c r="A87" s="3" t="s">
        <v>4</v>
      </c>
      <c r="B87" s="5" t="s">
        <v>99</v>
      </c>
      <c r="C87" s="6" t="s">
        <v>9</v>
      </c>
      <c r="D87" s="5" t="s">
        <v>58</v>
      </c>
    </row>
    <row r="88" spans="1:4" x14ac:dyDescent="0.25">
      <c r="A88" s="3" t="s">
        <v>4</v>
      </c>
      <c r="B88" s="5" t="s">
        <v>100</v>
      </c>
      <c r="C88" s="6" t="s">
        <v>9</v>
      </c>
      <c r="D88" s="5" t="s">
        <v>58</v>
      </c>
    </row>
    <row r="89" spans="1:4" x14ac:dyDescent="0.25">
      <c r="A89" s="3" t="s">
        <v>4</v>
      </c>
      <c r="B89" s="5" t="s">
        <v>101</v>
      </c>
      <c r="C89" s="6" t="s">
        <v>9</v>
      </c>
      <c r="D89" s="5" t="s">
        <v>58</v>
      </c>
    </row>
    <row r="90" spans="1:4" x14ac:dyDescent="0.25">
      <c r="A90" s="3" t="s">
        <v>4</v>
      </c>
      <c r="B90" s="5" t="s">
        <v>102</v>
      </c>
      <c r="C90" s="6" t="s">
        <v>9</v>
      </c>
      <c r="D90" s="5" t="s">
        <v>58</v>
      </c>
    </row>
    <row r="91" spans="1:4" x14ac:dyDescent="0.25">
      <c r="A91" s="3" t="s">
        <v>4</v>
      </c>
      <c r="B91" s="5" t="s">
        <v>103</v>
      </c>
      <c r="C91" s="6" t="s">
        <v>9</v>
      </c>
      <c r="D91" s="5" t="s">
        <v>58</v>
      </c>
    </row>
    <row r="92" spans="1:4" x14ac:dyDescent="0.25">
      <c r="A92" s="3" t="s">
        <v>4</v>
      </c>
      <c r="B92" s="5" t="s">
        <v>104</v>
      </c>
      <c r="C92" s="6" t="s">
        <v>6</v>
      </c>
      <c r="D92" s="5"/>
    </row>
    <row r="93" spans="1:4" x14ac:dyDescent="0.25">
      <c r="A93" s="3" t="s">
        <v>4</v>
      </c>
      <c r="B93" s="5" t="s">
        <v>105</v>
      </c>
      <c r="C93" s="6" t="s">
        <v>6</v>
      </c>
      <c r="D93" s="5"/>
    </row>
    <row r="94" spans="1:4" x14ac:dyDescent="0.25">
      <c r="A94" s="3" t="s">
        <v>4</v>
      </c>
      <c r="B94" s="5" t="s">
        <v>106</v>
      </c>
      <c r="C94" s="6" t="s">
        <v>6</v>
      </c>
      <c r="D94" s="5"/>
    </row>
    <row r="95" spans="1:4" x14ac:dyDescent="0.25">
      <c r="A95" s="3" t="s">
        <v>107</v>
      </c>
      <c r="B95" s="5" t="s">
        <v>108</v>
      </c>
      <c r="C95" s="6" t="s">
        <v>6</v>
      </c>
      <c r="D95" s="5"/>
    </row>
    <row r="96" spans="1:4" x14ac:dyDescent="0.25">
      <c r="A96" s="3" t="s">
        <v>107</v>
      </c>
      <c r="B96" s="5" t="s">
        <v>109</v>
      </c>
      <c r="C96" s="6" t="s">
        <v>9</v>
      </c>
      <c r="D96" s="5" t="s">
        <v>7</v>
      </c>
    </row>
    <row r="97" spans="1:4" x14ac:dyDescent="0.25">
      <c r="A97" s="3" t="s">
        <v>107</v>
      </c>
      <c r="B97" s="5" t="s">
        <v>110</v>
      </c>
      <c r="C97" s="6" t="s">
        <v>9</v>
      </c>
      <c r="D97" s="5" t="s">
        <v>7</v>
      </c>
    </row>
    <row r="98" spans="1:4" x14ac:dyDescent="0.25">
      <c r="A98" s="3" t="s">
        <v>107</v>
      </c>
      <c r="B98" s="5" t="s">
        <v>111</v>
      </c>
      <c r="C98" s="6" t="s">
        <v>9</v>
      </c>
      <c r="D98" s="5" t="s">
        <v>7</v>
      </c>
    </row>
    <row r="99" spans="1:4" x14ac:dyDescent="0.25">
      <c r="A99" s="3" t="s">
        <v>107</v>
      </c>
      <c r="B99" s="5" t="s">
        <v>112</v>
      </c>
      <c r="C99" s="6" t="s">
        <v>9</v>
      </c>
      <c r="D99" s="5" t="s">
        <v>7</v>
      </c>
    </row>
    <row r="100" spans="1:4" x14ac:dyDescent="0.25">
      <c r="A100" s="3" t="s">
        <v>107</v>
      </c>
      <c r="B100" s="5" t="s">
        <v>113</v>
      </c>
      <c r="C100" s="6" t="s">
        <v>9</v>
      </c>
      <c r="D100" s="5" t="s">
        <v>7</v>
      </c>
    </row>
    <row r="101" spans="1:4" x14ac:dyDescent="0.25">
      <c r="A101" s="3" t="s">
        <v>107</v>
      </c>
      <c r="B101" s="5" t="s">
        <v>114</v>
      </c>
      <c r="C101" s="6" t="s">
        <v>6</v>
      </c>
      <c r="D101" s="5"/>
    </row>
    <row r="102" spans="1:4" x14ac:dyDescent="0.25">
      <c r="A102" s="3" t="s">
        <v>107</v>
      </c>
      <c r="B102" s="5" t="s">
        <v>115</v>
      </c>
      <c r="C102" s="6" t="s">
        <v>6</v>
      </c>
      <c r="D102" s="5"/>
    </row>
    <row r="103" spans="1:4" x14ac:dyDescent="0.25">
      <c r="A103" s="3" t="s">
        <v>107</v>
      </c>
      <c r="B103" s="5" t="s">
        <v>116</v>
      </c>
      <c r="C103" s="6" t="s">
        <v>9</v>
      </c>
      <c r="D103" s="5" t="s">
        <v>7</v>
      </c>
    </row>
    <row r="104" spans="1:4" x14ac:dyDescent="0.25">
      <c r="A104" s="3" t="s">
        <v>107</v>
      </c>
      <c r="B104" s="5" t="s">
        <v>117</v>
      </c>
      <c r="C104" s="6" t="s">
        <v>9</v>
      </c>
      <c r="D104" s="5" t="s">
        <v>7</v>
      </c>
    </row>
    <row r="105" spans="1:4" x14ac:dyDescent="0.25">
      <c r="A105" s="3" t="s">
        <v>107</v>
      </c>
      <c r="B105" s="5" t="s">
        <v>118</v>
      </c>
      <c r="C105" s="6" t="s">
        <v>6</v>
      </c>
      <c r="D105" s="5"/>
    </row>
    <row r="106" spans="1:4" x14ac:dyDescent="0.25">
      <c r="A106" s="3" t="s">
        <v>107</v>
      </c>
      <c r="B106" s="5" t="s">
        <v>119</v>
      </c>
      <c r="C106" s="6" t="s">
        <v>9</v>
      </c>
      <c r="D106" s="5" t="s">
        <v>7</v>
      </c>
    </row>
    <row r="107" spans="1:4" x14ac:dyDescent="0.25">
      <c r="A107" s="3" t="s">
        <v>107</v>
      </c>
      <c r="B107" s="5" t="s">
        <v>120</v>
      </c>
      <c r="C107" s="6" t="s">
        <v>9</v>
      </c>
      <c r="D107" s="5" t="s">
        <v>7</v>
      </c>
    </row>
    <row r="108" spans="1:4" x14ac:dyDescent="0.25">
      <c r="A108" s="3" t="s">
        <v>107</v>
      </c>
      <c r="B108" s="5" t="s">
        <v>121</v>
      </c>
      <c r="C108" s="6" t="s">
        <v>9</v>
      </c>
      <c r="D108" s="5" t="s">
        <v>7</v>
      </c>
    </row>
    <row r="109" spans="1:4" x14ac:dyDescent="0.25">
      <c r="A109" s="3" t="s">
        <v>107</v>
      </c>
      <c r="B109" s="5" t="s">
        <v>122</v>
      </c>
      <c r="C109" s="6" t="s">
        <v>9</v>
      </c>
      <c r="D109" s="5" t="s">
        <v>7</v>
      </c>
    </row>
    <row r="110" spans="1:4" x14ac:dyDescent="0.25">
      <c r="A110" s="3" t="s">
        <v>107</v>
      </c>
      <c r="B110" s="5" t="s">
        <v>123</v>
      </c>
      <c r="C110" s="6" t="s">
        <v>6</v>
      </c>
      <c r="D110" s="5"/>
    </row>
    <row r="111" spans="1:4" x14ac:dyDescent="0.25">
      <c r="A111" s="3" t="s">
        <v>107</v>
      </c>
      <c r="B111" s="5" t="s">
        <v>124</v>
      </c>
      <c r="C111" s="6" t="s">
        <v>6</v>
      </c>
      <c r="D111" s="5"/>
    </row>
    <row r="112" spans="1:4" x14ac:dyDescent="0.25">
      <c r="A112" s="3" t="s">
        <v>107</v>
      </c>
      <c r="B112" s="5" t="s">
        <v>125</v>
      </c>
      <c r="C112" s="6" t="s">
        <v>9</v>
      </c>
      <c r="D112" s="5" t="s">
        <v>126</v>
      </c>
    </row>
    <row r="113" spans="1:4" x14ac:dyDescent="0.25">
      <c r="A113" s="3" t="s">
        <v>107</v>
      </c>
      <c r="B113" s="5" t="s">
        <v>127</v>
      </c>
      <c r="C113" s="6" t="s">
        <v>9</v>
      </c>
      <c r="D113" s="5" t="s">
        <v>7</v>
      </c>
    </row>
    <row r="114" spans="1:4" x14ac:dyDescent="0.25">
      <c r="A114" s="3" t="s">
        <v>107</v>
      </c>
      <c r="B114" s="5" t="s">
        <v>128</v>
      </c>
      <c r="C114" s="6" t="s">
        <v>9</v>
      </c>
      <c r="D114" s="5" t="s">
        <v>7</v>
      </c>
    </row>
    <row r="115" spans="1:4" x14ac:dyDescent="0.25">
      <c r="A115" s="3" t="s">
        <v>107</v>
      </c>
      <c r="B115" s="5" t="s">
        <v>129</v>
      </c>
      <c r="C115" s="6" t="s">
        <v>9</v>
      </c>
      <c r="D115" s="5" t="s">
        <v>7</v>
      </c>
    </row>
    <row r="116" spans="1:4" x14ac:dyDescent="0.25">
      <c r="A116" s="3" t="s">
        <v>107</v>
      </c>
      <c r="B116" s="5" t="s">
        <v>130</v>
      </c>
      <c r="C116" s="6" t="s">
        <v>9</v>
      </c>
      <c r="D116" s="5" t="s">
        <v>7</v>
      </c>
    </row>
    <row r="117" spans="1:4" x14ac:dyDescent="0.25">
      <c r="A117" s="3" t="s">
        <v>107</v>
      </c>
      <c r="B117" s="5" t="s">
        <v>131</v>
      </c>
      <c r="C117" s="6" t="s">
        <v>9</v>
      </c>
      <c r="D117" s="5" t="s">
        <v>7</v>
      </c>
    </row>
    <row r="118" spans="1:4" x14ac:dyDescent="0.25">
      <c r="A118" s="3" t="s">
        <v>107</v>
      </c>
      <c r="B118" s="5" t="s">
        <v>132</v>
      </c>
      <c r="C118" s="6" t="s">
        <v>9</v>
      </c>
      <c r="D118" s="5" t="s">
        <v>7</v>
      </c>
    </row>
    <row r="119" spans="1:4" x14ac:dyDescent="0.25">
      <c r="A119" s="3" t="s">
        <v>107</v>
      </c>
      <c r="B119" s="5" t="s">
        <v>133</v>
      </c>
      <c r="C119" s="6" t="s">
        <v>9</v>
      </c>
      <c r="D119" s="5" t="s">
        <v>7</v>
      </c>
    </row>
    <row r="120" spans="1:4" x14ac:dyDescent="0.25">
      <c r="A120" s="10" t="s">
        <v>107</v>
      </c>
      <c r="B120" s="11" t="s">
        <v>134</v>
      </c>
      <c r="C120" s="6" t="s">
        <v>9</v>
      </c>
      <c r="D120" s="5" t="s">
        <v>7</v>
      </c>
    </row>
    <row r="121" spans="1:4" x14ac:dyDescent="0.25">
      <c r="A121" s="10" t="s">
        <v>107</v>
      </c>
      <c r="B121" s="11" t="s">
        <v>135</v>
      </c>
      <c r="C121" s="6" t="s">
        <v>9</v>
      </c>
      <c r="D121" s="5" t="s">
        <v>7</v>
      </c>
    </row>
    <row r="122" spans="1:4" x14ac:dyDescent="0.25">
      <c r="A122" s="10" t="s">
        <v>107</v>
      </c>
      <c r="B122" s="11" t="s">
        <v>136</v>
      </c>
      <c r="C122" s="6" t="s">
        <v>9</v>
      </c>
      <c r="D122" s="5" t="s">
        <v>7</v>
      </c>
    </row>
    <row r="123" spans="1:4" x14ac:dyDescent="0.25">
      <c r="A123" s="10" t="s">
        <v>107</v>
      </c>
      <c r="B123" s="11" t="s">
        <v>137</v>
      </c>
      <c r="C123" s="6" t="s">
        <v>9</v>
      </c>
      <c r="D123" s="5" t="s">
        <v>7</v>
      </c>
    </row>
    <row r="124" spans="1:4" x14ac:dyDescent="0.25">
      <c r="A124" s="10" t="s">
        <v>107</v>
      </c>
      <c r="B124" s="11" t="s">
        <v>138</v>
      </c>
      <c r="C124" s="6" t="s">
        <v>9</v>
      </c>
      <c r="D124" s="5" t="s">
        <v>7</v>
      </c>
    </row>
    <row r="125" spans="1:4" x14ac:dyDescent="0.25">
      <c r="A125" s="10" t="s">
        <v>107</v>
      </c>
      <c r="B125" s="11" t="s">
        <v>139</v>
      </c>
      <c r="C125" s="6" t="s">
        <v>9</v>
      </c>
      <c r="D125" s="5" t="s">
        <v>7</v>
      </c>
    </row>
    <row r="126" spans="1:4" x14ac:dyDescent="0.25">
      <c r="A126" s="10" t="s">
        <v>107</v>
      </c>
      <c r="B126" s="11" t="s">
        <v>140</v>
      </c>
      <c r="C126" s="6" t="s">
        <v>9</v>
      </c>
      <c r="D126" s="5" t="s">
        <v>7</v>
      </c>
    </row>
    <row r="127" spans="1:4" x14ac:dyDescent="0.25">
      <c r="A127" s="10" t="s">
        <v>107</v>
      </c>
      <c r="B127" s="11" t="s">
        <v>141</v>
      </c>
      <c r="C127" s="6" t="s">
        <v>9</v>
      </c>
      <c r="D127" s="5" t="s">
        <v>7</v>
      </c>
    </row>
    <row r="128" spans="1:4" x14ac:dyDescent="0.25">
      <c r="A128" s="10" t="s">
        <v>107</v>
      </c>
      <c r="B128" s="11" t="s">
        <v>142</v>
      </c>
      <c r="C128" s="6" t="s">
        <v>9</v>
      </c>
      <c r="D128" s="5" t="s">
        <v>7</v>
      </c>
    </row>
    <row r="129" spans="1:4" x14ac:dyDescent="0.25">
      <c r="A129" s="3" t="s">
        <v>107</v>
      </c>
      <c r="B129" s="5" t="s">
        <v>143</v>
      </c>
      <c r="C129" s="6" t="s">
        <v>6</v>
      </c>
      <c r="D129" s="5"/>
    </row>
    <row r="130" spans="1:4" x14ac:dyDescent="0.25">
      <c r="A130" s="3" t="s">
        <v>107</v>
      </c>
      <c r="B130" s="5" t="s">
        <v>144</v>
      </c>
      <c r="C130" s="6" t="s">
        <v>6</v>
      </c>
      <c r="D130" s="5"/>
    </row>
    <row r="131" spans="1:4" x14ac:dyDescent="0.25">
      <c r="A131" s="3" t="s">
        <v>107</v>
      </c>
      <c r="B131" s="5" t="s">
        <v>145</v>
      </c>
      <c r="C131" s="6" t="s">
        <v>6</v>
      </c>
      <c r="D131" s="5"/>
    </row>
    <row r="132" spans="1:4" x14ac:dyDescent="0.25">
      <c r="A132" s="3" t="s">
        <v>107</v>
      </c>
      <c r="B132" s="5" t="s">
        <v>146</v>
      </c>
      <c r="C132" s="6" t="s">
        <v>9</v>
      </c>
      <c r="D132" s="5" t="s">
        <v>10</v>
      </c>
    </row>
    <row r="133" spans="1:4" x14ac:dyDescent="0.25">
      <c r="A133" s="3" t="s">
        <v>107</v>
      </c>
      <c r="B133" s="5" t="s">
        <v>147</v>
      </c>
      <c r="C133" s="6" t="s">
        <v>9</v>
      </c>
      <c r="D133" s="5" t="s">
        <v>12</v>
      </c>
    </row>
    <row r="134" spans="1:4" x14ac:dyDescent="0.25">
      <c r="A134" s="3" t="s">
        <v>107</v>
      </c>
      <c r="B134" s="5" t="s">
        <v>148</v>
      </c>
      <c r="C134" s="6" t="s">
        <v>9</v>
      </c>
      <c r="D134" s="5" t="s">
        <v>58</v>
      </c>
    </row>
    <row r="135" spans="1:4" x14ac:dyDescent="0.25">
      <c r="A135" s="3" t="s">
        <v>107</v>
      </c>
      <c r="B135" s="5" t="s">
        <v>149</v>
      </c>
      <c r="C135" s="6" t="s">
        <v>9</v>
      </c>
      <c r="D135" s="5" t="s">
        <v>58</v>
      </c>
    </row>
    <row r="136" spans="1:4" x14ac:dyDescent="0.25">
      <c r="A136" s="3" t="s">
        <v>107</v>
      </c>
      <c r="B136" s="5" t="s">
        <v>150</v>
      </c>
      <c r="C136" s="6" t="s">
        <v>6</v>
      </c>
      <c r="D136" s="5"/>
    </row>
    <row r="137" spans="1:4" x14ac:dyDescent="0.25">
      <c r="A137" s="3" t="s">
        <v>107</v>
      </c>
      <c r="B137" s="5" t="s">
        <v>151</v>
      </c>
      <c r="C137" s="6" t="s">
        <v>6</v>
      </c>
      <c r="D137" s="5"/>
    </row>
    <row r="138" spans="1:4" x14ac:dyDescent="0.25">
      <c r="A138" s="3" t="s">
        <v>107</v>
      </c>
      <c r="B138" s="5" t="s">
        <v>152</v>
      </c>
      <c r="C138" s="6" t="s">
        <v>9</v>
      </c>
      <c r="D138" s="5" t="s">
        <v>14</v>
      </c>
    </row>
    <row r="139" spans="1:4" x14ac:dyDescent="0.25">
      <c r="A139" s="3" t="s">
        <v>107</v>
      </c>
      <c r="B139" s="5" t="s">
        <v>153</v>
      </c>
      <c r="C139" s="6" t="s">
        <v>6</v>
      </c>
      <c r="D139" s="5"/>
    </row>
    <row r="140" spans="1:4" x14ac:dyDescent="0.25">
      <c r="A140" s="3" t="s">
        <v>107</v>
      </c>
      <c r="B140" s="5" t="s">
        <v>154</v>
      </c>
      <c r="C140" s="6" t="s">
        <v>6</v>
      </c>
      <c r="D140" s="5"/>
    </row>
    <row r="141" spans="1:4" x14ac:dyDescent="0.25">
      <c r="A141" s="3" t="s">
        <v>107</v>
      </c>
      <c r="B141" s="5" t="s">
        <v>155</v>
      </c>
      <c r="C141" s="6" t="s">
        <v>9</v>
      </c>
      <c r="D141" s="5" t="s">
        <v>16</v>
      </c>
    </row>
    <row r="142" spans="1:4" x14ac:dyDescent="0.25">
      <c r="A142" s="3" t="s">
        <v>107</v>
      </c>
      <c r="B142" s="5" t="s">
        <v>156</v>
      </c>
      <c r="C142" s="6" t="s">
        <v>9</v>
      </c>
      <c r="D142" s="5" t="s">
        <v>58</v>
      </c>
    </row>
    <row r="143" spans="1:4" x14ac:dyDescent="0.25">
      <c r="A143" s="3" t="s">
        <v>107</v>
      </c>
      <c r="B143" s="5" t="s">
        <v>157</v>
      </c>
      <c r="C143" s="6" t="s">
        <v>9</v>
      </c>
      <c r="D143" s="5" t="s">
        <v>58</v>
      </c>
    </row>
    <row r="144" spans="1:4" x14ac:dyDescent="0.25">
      <c r="A144" s="3" t="s">
        <v>107</v>
      </c>
      <c r="B144" s="5" t="s">
        <v>158</v>
      </c>
      <c r="C144" s="6" t="s">
        <v>6</v>
      </c>
      <c r="D144" s="5"/>
    </row>
    <row r="145" spans="1:4" x14ac:dyDescent="0.25">
      <c r="A145" s="3" t="s">
        <v>107</v>
      </c>
      <c r="B145" s="5" t="s">
        <v>159</v>
      </c>
      <c r="C145" s="6" t="s">
        <v>6</v>
      </c>
      <c r="D145" s="5"/>
    </row>
    <row r="146" spans="1:4" x14ac:dyDescent="0.25">
      <c r="A146" s="3" t="s">
        <v>107</v>
      </c>
      <c r="B146" s="5" t="s">
        <v>160</v>
      </c>
      <c r="C146" s="6" t="s">
        <v>9</v>
      </c>
      <c r="D146" s="5" t="s">
        <v>58</v>
      </c>
    </row>
    <row r="147" spans="1:4" x14ac:dyDescent="0.25">
      <c r="A147" s="3" t="s">
        <v>107</v>
      </c>
      <c r="B147" s="5" t="s">
        <v>161</v>
      </c>
      <c r="C147" s="6" t="s">
        <v>9</v>
      </c>
      <c r="D147" s="5" t="s">
        <v>58</v>
      </c>
    </row>
    <row r="148" spans="1:4" x14ac:dyDescent="0.25">
      <c r="A148" s="3" t="s">
        <v>107</v>
      </c>
      <c r="B148" s="5" t="s">
        <v>162</v>
      </c>
      <c r="C148" s="6" t="s">
        <v>9</v>
      </c>
      <c r="D148" s="5" t="s">
        <v>58</v>
      </c>
    </row>
    <row r="149" spans="1:4" x14ac:dyDescent="0.25">
      <c r="A149" s="3" t="s">
        <v>107</v>
      </c>
      <c r="B149" s="5" t="s">
        <v>163</v>
      </c>
      <c r="C149" s="6" t="s">
        <v>9</v>
      </c>
      <c r="D149" s="5" t="s">
        <v>58</v>
      </c>
    </row>
    <row r="150" spans="1:4" x14ac:dyDescent="0.25">
      <c r="A150" s="3" t="s">
        <v>107</v>
      </c>
      <c r="B150" s="5" t="s">
        <v>164</v>
      </c>
      <c r="C150" s="6" t="s">
        <v>9</v>
      </c>
      <c r="D150" s="5" t="s">
        <v>58</v>
      </c>
    </row>
    <row r="151" spans="1:4" x14ac:dyDescent="0.25">
      <c r="A151" s="3" t="s">
        <v>107</v>
      </c>
      <c r="B151" s="5" t="s">
        <v>165</v>
      </c>
      <c r="C151" s="6" t="s">
        <v>9</v>
      </c>
      <c r="D151" s="5" t="s">
        <v>58</v>
      </c>
    </row>
    <row r="152" spans="1:4" x14ac:dyDescent="0.25">
      <c r="A152" s="3" t="s">
        <v>107</v>
      </c>
      <c r="B152" s="5" t="s">
        <v>166</v>
      </c>
      <c r="C152" s="6" t="s">
        <v>9</v>
      </c>
      <c r="D152" s="5" t="s">
        <v>58</v>
      </c>
    </row>
    <row r="153" spans="1:4" x14ac:dyDescent="0.25">
      <c r="A153" s="3" t="s">
        <v>107</v>
      </c>
      <c r="B153" s="5" t="s">
        <v>167</v>
      </c>
      <c r="C153" s="6" t="s">
        <v>9</v>
      </c>
      <c r="D153" s="5" t="s">
        <v>58</v>
      </c>
    </row>
    <row r="154" spans="1:4" x14ac:dyDescent="0.25">
      <c r="A154" s="3" t="s">
        <v>107</v>
      </c>
      <c r="B154" s="5" t="s">
        <v>168</v>
      </c>
      <c r="C154" s="6" t="s">
        <v>9</v>
      </c>
      <c r="D154" s="5" t="s">
        <v>58</v>
      </c>
    </row>
    <row r="155" spans="1:4" x14ac:dyDescent="0.25">
      <c r="A155" s="3" t="s">
        <v>107</v>
      </c>
      <c r="B155" s="5" t="s">
        <v>169</v>
      </c>
      <c r="C155" s="6" t="s">
        <v>9</v>
      </c>
      <c r="D155" s="5" t="s">
        <v>58</v>
      </c>
    </row>
    <row r="156" spans="1:4" x14ac:dyDescent="0.25">
      <c r="A156" s="3" t="s">
        <v>107</v>
      </c>
      <c r="B156" s="5" t="s">
        <v>170</v>
      </c>
      <c r="C156" s="6" t="s">
        <v>9</v>
      </c>
      <c r="D156" s="5" t="s">
        <v>58</v>
      </c>
    </row>
    <row r="157" spans="1:4" x14ac:dyDescent="0.25">
      <c r="A157" s="3" t="s">
        <v>107</v>
      </c>
      <c r="B157" s="5" t="s">
        <v>171</v>
      </c>
      <c r="C157" s="6" t="s">
        <v>9</v>
      </c>
      <c r="D157" s="5" t="s">
        <v>58</v>
      </c>
    </row>
    <row r="158" spans="1:4" x14ac:dyDescent="0.25">
      <c r="A158" s="3" t="s">
        <v>107</v>
      </c>
      <c r="B158" s="5" t="s">
        <v>172</v>
      </c>
      <c r="C158" s="6" t="s">
        <v>9</v>
      </c>
      <c r="D158" s="5" t="s">
        <v>58</v>
      </c>
    </row>
    <row r="159" spans="1:4" x14ac:dyDescent="0.25">
      <c r="A159" s="3" t="s">
        <v>107</v>
      </c>
      <c r="B159" s="5" t="s">
        <v>173</v>
      </c>
      <c r="C159" s="6" t="s">
        <v>6</v>
      </c>
      <c r="D159" s="5"/>
    </row>
    <row r="160" spans="1:4" x14ac:dyDescent="0.25">
      <c r="A160" s="3" t="s">
        <v>107</v>
      </c>
      <c r="B160" s="5" t="s">
        <v>174</v>
      </c>
      <c r="C160" s="6" t="s">
        <v>6</v>
      </c>
      <c r="D160" s="5"/>
    </row>
    <row r="161" spans="1:4" x14ac:dyDescent="0.25">
      <c r="A161" s="3" t="s">
        <v>175</v>
      </c>
      <c r="B161" s="5" t="s">
        <v>176</v>
      </c>
      <c r="C161" s="6" t="s">
        <v>9</v>
      </c>
      <c r="D161" s="5" t="s">
        <v>7</v>
      </c>
    </row>
    <row r="162" spans="1:4" x14ac:dyDescent="0.25">
      <c r="A162" s="3" t="s">
        <v>175</v>
      </c>
      <c r="B162" s="5" t="s">
        <v>177</v>
      </c>
      <c r="C162" s="6" t="s">
        <v>9</v>
      </c>
      <c r="D162" s="5" t="s">
        <v>7</v>
      </c>
    </row>
    <row r="163" spans="1:4" x14ac:dyDescent="0.25">
      <c r="A163" s="3" t="s">
        <v>175</v>
      </c>
      <c r="B163" s="5" t="s">
        <v>178</v>
      </c>
      <c r="C163" s="6" t="s">
        <v>6</v>
      </c>
      <c r="D163" s="5"/>
    </row>
    <row r="164" spans="1:4" x14ac:dyDescent="0.25">
      <c r="A164" s="3" t="s">
        <v>175</v>
      </c>
      <c r="B164" s="5" t="s">
        <v>179</v>
      </c>
      <c r="C164" s="6" t="s">
        <v>6</v>
      </c>
      <c r="D164" s="5"/>
    </row>
    <row r="165" spans="1:4" x14ac:dyDescent="0.25">
      <c r="A165" s="3" t="s">
        <v>175</v>
      </c>
      <c r="B165" s="5" t="s">
        <v>180</v>
      </c>
      <c r="C165" s="6" t="s">
        <v>9</v>
      </c>
      <c r="D165" s="5" t="s">
        <v>7</v>
      </c>
    </row>
    <row r="166" spans="1:4" x14ac:dyDescent="0.25">
      <c r="A166" s="3" t="s">
        <v>175</v>
      </c>
      <c r="B166" s="5" t="s">
        <v>181</v>
      </c>
      <c r="C166" s="6" t="s">
        <v>9</v>
      </c>
      <c r="D166" s="5" t="s">
        <v>7</v>
      </c>
    </row>
    <row r="167" spans="1:4" x14ac:dyDescent="0.25">
      <c r="A167" s="3" t="s">
        <v>175</v>
      </c>
      <c r="B167" s="5" t="s">
        <v>182</v>
      </c>
      <c r="C167" s="6" t="s">
        <v>9</v>
      </c>
      <c r="D167" s="5" t="s">
        <v>7</v>
      </c>
    </row>
    <row r="168" spans="1:4" x14ac:dyDescent="0.25">
      <c r="A168" s="3" t="s">
        <v>175</v>
      </c>
      <c r="B168" s="5" t="s">
        <v>183</v>
      </c>
      <c r="C168" s="6" t="s">
        <v>9</v>
      </c>
      <c r="D168" s="5" t="s">
        <v>7</v>
      </c>
    </row>
    <row r="169" spans="1:4" x14ac:dyDescent="0.25">
      <c r="A169" s="3" t="s">
        <v>175</v>
      </c>
      <c r="B169" s="5" t="s">
        <v>184</v>
      </c>
      <c r="C169" s="6" t="s">
        <v>9</v>
      </c>
      <c r="D169" s="5" t="s">
        <v>7</v>
      </c>
    </row>
    <row r="170" spans="1:4" x14ac:dyDescent="0.25">
      <c r="A170" s="3" t="s">
        <v>175</v>
      </c>
      <c r="B170" s="5" t="s">
        <v>185</v>
      </c>
      <c r="C170" s="6" t="s">
        <v>9</v>
      </c>
      <c r="D170" s="5" t="s">
        <v>7</v>
      </c>
    </row>
    <row r="171" spans="1:4" x14ac:dyDescent="0.25">
      <c r="A171" s="3" t="s">
        <v>175</v>
      </c>
      <c r="B171" s="5" t="s">
        <v>186</v>
      </c>
      <c r="C171" s="6" t="s">
        <v>9</v>
      </c>
      <c r="D171" s="5" t="s">
        <v>10</v>
      </c>
    </row>
    <row r="172" spans="1:4" x14ac:dyDescent="0.25">
      <c r="A172" s="3" t="s">
        <v>175</v>
      </c>
      <c r="B172" s="5" t="s">
        <v>187</v>
      </c>
      <c r="C172" s="6" t="s">
        <v>9</v>
      </c>
      <c r="D172" s="5" t="s">
        <v>10</v>
      </c>
    </row>
    <row r="173" spans="1:4" x14ac:dyDescent="0.25">
      <c r="A173" s="3" t="s">
        <v>175</v>
      </c>
      <c r="B173" s="5" t="s">
        <v>188</v>
      </c>
      <c r="C173" s="6" t="s">
        <v>9</v>
      </c>
      <c r="D173" s="5" t="s">
        <v>7</v>
      </c>
    </row>
    <row r="174" spans="1:4" x14ac:dyDescent="0.25">
      <c r="A174" s="3" t="s">
        <v>175</v>
      </c>
      <c r="B174" s="5" t="s">
        <v>189</v>
      </c>
      <c r="C174" s="6" t="s">
        <v>9</v>
      </c>
      <c r="D174" s="5" t="s">
        <v>7</v>
      </c>
    </row>
    <row r="175" spans="1:4" x14ac:dyDescent="0.25">
      <c r="A175" s="3" t="s">
        <v>175</v>
      </c>
      <c r="B175" s="5" t="s">
        <v>190</v>
      </c>
      <c r="C175" s="6" t="s">
        <v>9</v>
      </c>
      <c r="D175" s="5" t="s">
        <v>7</v>
      </c>
    </row>
    <row r="176" spans="1:4" x14ac:dyDescent="0.25">
      <c r="A176" s="3" t="s">
        <v>175</v>
      </c>
      <c r="B176" s="5" t="s">
        <v>191</v>
      </c>
      <c r="C176" s="6" t="s">
        <v>9</v>
      </c>
      <c r="D176" s="5" t="s">
        <v>7</v>
      </c>
    </row>
    <row r="177" spans="1:4" x14ac:dyDescent="0.25">
      <c r="A177" s="3" t="s">
        <v>175</v>
      </c>
      <c r="B177" s="5" t="s">
        <v>192</v>
      </c>
      <c r="C177" s="6" t="s">
        <v>6</v>
      </c>
      <c r="D177" s="5"/>
    </row>
    <row r="178" spans="1:4" x14ac:dyDescent="0.25">
      <c r="A178" s="3" t="s">
        <v>175</v>
      </c>
      <c r="B178" s="5" t="s">
        <v>193</v>
      </c>
      <c r="C178" s="6" t="s">
        <v>6</v>
      </c>
      <c r="D178" s="5"/>
    </row>
    <row r="179" spans="1:4" x14ac:dyDescent="0.25">
      <c r="A179" s="3" t="s">
        <v>175</v>
      </c>
      <c r="B179" s="5" t="s">
        <v>194</v>
      </c>
      <c r="C179" s="6" t="s">
        <v>6</v>
      </c>
      <c r="D179" s="5"/>
    </row>
    <row r="180" spans="1:4" x14ac:dyDescent="0.25">
      <c r="A180" s="3" t="s">
        <v>175</v>
      </c>
      <c r="B180" s="5" t="s">
        <v>195</v>
      </c>
      <c r="C180" s="6" t="s">
        <v>6</v>
      </c>
      <c r="D180" s="5"/>
    </row>
    <row r="181" spans="1:4" x14ac:dyDescent="0.25">
      <c r="A181" s="3" t="s">
        <v>175</v>
      </c>
      <c r="B181" s="5" t="s">
        <v>196</v>
      </c>
      <c r="C181" s="6" t="s">
        <v>9</v>
      </c>
      <c r="D181" s="5" t="s">
        <v>12</v>
      </c>
    </row>
    <row r="182" spans="1:4" x14ac:dyDescent="0.25">
      <c r="A182" s="3" t="s">
        <v>175</v>
      </c>
      <c r="B182" s="5" t="s">
        <v>197</v>
      </c>
      <c r="C182" s="6" t="s">
        <v>9</v>
      </c>
      <c r="D182" s="5" t="s">
        <v>12</v>
      </c>
    </row>
    <row r="183" spans="1:4" x14ac:dyDescent="0.25">
      <c r="A183" s="3" t="s">
        <v>175</v>
      </c>
      <c r="B183" s="5" t="s">
        <v>198</v>
      </c>
      <c r="C183" s="6" t="s">
        <v>6</v>
      </c>
      <c r="D183" s="5"/>
    </row>
    <row r="184" spans="1:4" x14ac:dyDescent="0.25">
      <c r="A184" s="3" t="s">
        <v>175</v>
      </c>
      <c r="B184" s="5" t="s">
        <v>199</v>
      </c>
      <c r="C184" s="6" t="s">
        <v>6</v>
      </c>
      <c r="D184" s="5"/>
    </row>
    <row r="185" spans="1:4" x14ac:dyDescent="0.25">
      <c r="A185" s="3" t="s">
        <v>175</v>
      </c>
      <c r="B185" s="5" t="s">
        <v>200</v>
      </c>
      <c r="C185" s="6" t="s">
        <v>9</v>
      </c>
      <c r="D185" s="5" t="s">
        <v>14</v>
      </c>
    </row>
    <row r="186" spans="1:4" x14ac:dyDescent="0.25">
      <c r="A186" s="3" t="s">
        <v>175</v>
      </c>
      <c r="B186" s="5" t="s">
        <v>201</v>
      </c>
      <c r="C186" s="6" t="s">
        <v>6</v>
      </c>
      <c r="D186" s="5"/>
    </row>
    <row r="187" spans="1:4" x14ac:dyDescent="0.25">
      <c r="A187" s="3" t="s">
        <v>175</v>
      </c>
      <c r="B187" s="5" t="s">
        <v>202</v>
      </c>
      <c r="C187" s="6" t="s">
        <v>6</v>
      </c>
      <c r="D187" s="5"/>
    </row>
    <row r="188" spans="1:4" x14ac:dyDescent="0.25">
      <c r="A188" s="3" t="s">
        <v>175</v>
      </c>
      <c r="B188" s="5" t="s">
        <v>203</v>
      </c>
      <c r="C188" s="6" t="s">
        <v>9</v>
      </c>
      <c r="D188" s="5" t="s">
        <v>16</v>
      </c>
    </row>
    <row r="189" spans="1:4" x14ac:dyDescent="0.25">
      <c r="A189" s="3" t="s">
        <v>175</v>
      </c>
      <c r="B189" s="5" t="s">
        <v>204</v>
      </c>
      <c r="C189" s="6" t="s">
        <v>9</v>
      </c>
      <c r="D189" s="5" t="s">
        <v>58</v>
      </c>
    </row>
    <row r="190" spans="1:4" x14ac:dyDescent="0.25">
      <c r="A190" s="3" t="s">
        <v>175</v>
      </c>
      <c r="B190" s="5" t="s">
        <v>205</v>
      </c>
      <c r="C190" s="6" t="s">
        <v>9</v>
      </c>
      <c r="D190" s="5" t="s">
        <v>58</v>
      </c>
    </row>
    <row r="191" spans="1:4" x14ac:dyDescent="0.25">
      <c r="A191" s="3" t="s">
        <v>175</v>
      </c>
      <c r="B191" s="5" t="s">
        <v>206</v>
      </c>
      <c r="C191" s="6" t="s">
        <v>9</v>
      </c>
      <c r="D191" s="5" t="s">
        <v>58</v>
      </c>
    </row>
    <row r="192" spans="1:4" x14ac:dyDescent="0.25">
      <c r="A192" s="3" t="s">
        <v>175</v>
      </c>
      <c r="B192" s="5" t="s">
        <v>207</v>
      </c>
      <c r="C192" s="6" t="s">
        <v>6</v>
      </c>
      <c r="D192" s="5"/>
    </row>
    <row r="193" spans="1:4" x14ac:dyDescent="0.25">
      <c r="A193" s="3" t="s">
        <v>175</v>
      </c>
      <c r="B193" s="5" t="s">
        <v>208</v>
      </c>
      <c r="C193" s="6" t="s">
        <v>6</v>
      </c>
      <c r="D193" s="5"/>
    </row>
  </sheetData>
  <autoFilter ref="A1:D198"/>
  <conditionalFormatting sqref="C1:C1048576">
    <cfRule type="cellIs" dxfId="0" priority="1" operator="equal">
      <formula>"N"</formula>
    </cfRule>
    <cfRule type="cellIs" dxfId="1" priority="2" operator="equal">
      <formula>"Y"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workbookViewId="0" zoomScale="100" zoomScaleNormal="100">
      <selection activeCell="A2" sqref="A2"/>
    </sheetView>
  </sheetViews>
  <sheetFormatPr defaultRowHeight="14.5" outlineLevelRow="0" outlineLevelCol="0" x14ac:dyDescent="0.35" customHeight="1"/>
  <cols>
    <col min="1" max="1" width="30.81640625" customWidth="1"/>
  </cols>
  <sheetData>
    <row r="1" ht="19" customHeight="1" spans="1:1" x14ac:dyDescent="0.25">
      <c r="A1" s="4" t="s">
        <v>1</v>
      </c>
    </row>
    <row r="2" ht="15" customHeight="1" spans="1:1" x14ac:dyDescent="0.25">
      <c r="A2" s="7" t="s">
        <v>221</v>
      </c>
    </row>
    <row r="3" spans="1:1" x14ac:dyDescent="0.25">
      <c r="A3" s="8" t="s">
        <v>10</v>
      </c>
    </row>
    <row r="4" spans="1:1" x14ac:dyDescent="0.25">
      <c r="A4" s="8" t="s">
        <v>12</v>
      </c>
    </row>
    <row r="5" spans="1:1" x14ac:dyDescent="0.25">
      <c r="A5" s="8" t="s">
        <v>14</v>
      </c>
    </row>
    <row r="6" spans="1:1" x14ac:dyDescent="0.25">
      <c r="A6" s="8" t="s">
        <v>16</v>
      </c>
    </row>
    <row r="7" spans="1:1" x14ac:dyDescent="0.25">
      <c r="A7" s="9" t="s">
        <v>222</v>
      </c>
    </row>
    <row r="8" spans="1:1" x14ac:dyDescent="0.25">
      <c r="A8" s="9" t="s">
        <v>223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3"/>
  <sheetViews>
    <sheetView workbookViewId="0" zoomScale="100" zoomScaleNormal="100">
      <selection activeCell="C16" sqref="C16"/>
    </sheetView>
  </sheetViews>
  <sheetFormatPr defaultRowHeight="14.5" outlineLevelRow="0" outlineLevelCol="0" x14ac:dyDescent="0.35" customHeight="1"/>
  <cols>
    <col min="1" max="10" width="12.6328125" style="5" customWidth="1"/>
  </cols>
  <sheetData>
    <row r="2" spans="1:10" x14ac:dyDescent="0.25">
      <c r="A2" s="12" t="s">
        <v>209</v>
      </c>
      <c r="B2" s="12"/>
      <c r="C2" s="12"/>
      <c r="D2" s="12"/>
      <c r="E2" s="12"/>
      <c r="F2" s="12" t="s">
        <v>210</v>
      </c>
      <c r="G2" s="12"/>
      <c r="H2" s="12"/>
      <c r="I2" s="12"/>
      <c r="J2" s="12"/>
    </row>
    <row r="3" spans="1:10" x14ac:dyDescent="0.25">
      <c r="A3" s="13" t="s">
        <v>211</v>
      </c>
      <c r="B3" s="13" t="s">
        <v>212</v>
      </c>
      <c r="C3" s="13" t="s">
        <v>213</v>
      </c>
      <c r="D3" s="13" t="s">
        <v>214</v>
      </c>
      <c r="E3" s="13" t="s">
        <v>215</v>
      </c>
      <c r="F3" s="13" t="s">
        <v>211</v>
      </c>
      <c r="G3" s="13" t="s">
        <v>212</v>
      </c>
      <c r="H3" s="13" t="s">
        <v>213</v>
      </c>
      <c r="I3" s="13" t="s">
        <v>214</v>
      </c>
      <c r="J3" s="13" t="s">
        <v>215</v>
      </c>
    </row>
  </sheetData>
  <mergeCells count="2">
    <mergeCell ref="A2:E2"/>
    <mergeCell ref="F2:J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 zoomScale="100" zoomScaleNormal="100">
      <selection activeCell="B16" sqref="B16"/>
    </sheetView>
  </sheetViews>
  <sheetFormatPr defaultRowHeight="14.5" outlineLevelRow="0" outlineLevelCol="0" x14ac:dyDescent="0.35" customHeight="1"/>
  <cols>
    <col min="1" max="1" width="6.1796875" customWidth="1"/>
    <col min="2" max="2" width="5.81640625" customWidth="1"/>
    <col min="3" max="3" width="12.08984375" customWidth="1"/>
    <col min="4" max="4" width="5.26953125" customWidth="1"/>
  </cols>
  <sheetData>
    <row r="1" spans="1:1" x14ac:dyDescent="0.25">
      <c r="A1" t="s">
        <v>216</v>
      </c>
    </row>
    <row r="3" spans="1:6" x14ac:dyDescent="0.25">
      <c r="A3" t="s">
        <v>217</v>
      </c>
      <c r="B3" t="s">
        <v>211</v>
      </c>
      <c r="C3" t="s">
        <v>212</v>
      </c>
      <c r="D3" t="s">
        <v>213</v>
      </c>
      <c r="E3" t="s">
        <v>218</v>
      </c>
      <c r="F3" t="s">
        <v>219</v>
      </c>
    </row>
    <row r="4" spans="1:6" x14ac:dyDescent="0.25">
      <c r="A4" t="s">
        <v>220</v>
      </c>
      <c r="B4">
        <v>50000</v>
      </c>
      <c r="C4">
        <v>20</v>
      </c>
      <c r="D4">
        <v>0</v>
      </c>
      <c r="E4">
        <f>C4/B4*100</f>
        <v>0.04</v>
      </c>
      <c r="F4">
        <f>D4/B4*100</f>
        <v>0</v>
      </c>
    </row>
    <row r="5" spans="1:6" x14ac:dyDescent="0.25">
      <c r="A5" t="s">
        <v>210</v>
      </c>
      <c r="B5">
        <v>60000</v>
      </c>
      <c r="C5">
        <v>10</v>
      </c>
      <c r="D5">
        <v>12</v>
      </c>
      <c r="E5">
        <f>C5/B5*100</f>
        <v>0.016666666666666666</v>
      </c>
      <c r="F5">
        <f>D5/B5*100</f>
        <v>0.02</v>
      </c>
    </row>
    <row r="11" spans="1:1" x14ac:dyDescent="0.25">
      <c r="A11" t="s">
        <v>4</v>
      </c>
    </row>
    <row r="13" spans="1:6" x14ac:dyDescent="0.25">
      <c r="A13" t="s">
        <v>217</v>
      </c>
      <c r="B13" t="s">
        <v>211</v>
      </c>
      <c r="C13" t="s">
        <v>212</v>
      </c>
      <c r="D13" t="s">
        <v>213</v>
      </c>
      <c r="E13" t="s">
        <v>218</v>
      </c>
      <c r="F13" t="s">
        <v>219</v>
      </c>
    </row>
    <row r="14" spans="1:6" x14ac:dyDescent="0.25">
      <c r="A14" t="s">
        <v>220</v>
      </c>
      <c r="B14">
        <v>5000</v>
      </c>
      <c r="C14">
        <v>20</v>
      </c>
      <c r="D14">
        <v>0</v>
      </c>
      <c r="E14">
        <f>C14/B14*100</f>
        <v>0.4</v>
      </c>
      <c r="F14">
        <f>D14/B14*100</f>
        <v>0</v>
      </c>
    </row>
    <row r="15" spans="1:6" x14ac:dyDescent="0.25">
      <c r="A15" t="s">
        <v>210</v>
      </c>
      <c r="B15">
        <v>6000</v>
      </c>
      <c r="C15">
        <v>10</v>
      </c>
      <c r="D15">
        <v>12</v>
      </c>
      <c r="E15">
        <f>C15/B15*100</f>
        <v>0.16666666666666669</v>
      </c>
      <c r="F15">
        <f>D15/B15*100</f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Sheet3</vt:lpstr>
      <vt:lpstr>Sheet4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Natprakhan Rotdonphai</dc:creator>
  <cp:lastModifiedBy>Natprakhan Rotdonphai</cp:lastModifiedBy>
  <dcterms:created xsi:type="dcterms:W3CDTF">2015-06-05T18:17:20Z</dcterms:created>
  <dcterms:modified xsi:type="dcterms:W3CDTF">2026-07-22T04:03:05Z</dcterms:modified>
</cp:coreProperties>
</file>