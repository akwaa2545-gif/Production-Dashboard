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code test\Product Dashboard\TA\"/>
    </mc:Choice>
  </mc:AlternateContent>
  <xr:revisionPtr revIDLastSave="3191" documentId="8_{872FB55C-2AAC-49D6-8523-7610157C8A6E}" xr6:coauthVersionLast="47" xr6:coauthVersionMax="47" xr10:uidLastSave="{CC9FE764-BF7A-4EE8-9186-B428BE4D4CB9}"/>
  <bookViews>
    <workbookView xWindow="-110" yWindow="-110" windowWidth="19420" windowHeight="11500" firstSheet="1" activeTab="1" xr2:uid="{0D17ADB2-6336-4E08-A000-BF2EBA4D245D}"/>
  </bookViews>
  <sheets>
    <sheet name="Prod vol-Ship" sheetId="1" state="hidden" r:id="rId1"/>
    <sheet name="Daily_Yield_Ta" sheetId="2" r:id="rId2"/>
    <sheet name="Monthly_Yield_Ta-SC" sheetId="8" r:id="rId3"/>
    <sheet name="Daily_Yield_SC" sheetId="7"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L6" i="7" l="1"/>
  <c r="AL7" i="7"/>
  <c r="AL5" i="7"/>
  <c r="CX29" i="2"/>
  <c r="CW29" i="2"/>
  <c r="CX27" i="2"/>
  <c r="CW27" i="2"/>
  <c r="CX26" i="2"/>
  <c r="CW26" i="2"/>
  <c r="CX24" i="2"/>
  <c r="CW24" i="2"/>
  <c r="CX23" i="2"/>
  <c r="CW23" i="2"/>
  <c r="CX22" i="2"/>
  <c r="CW22" i="2"/>
  <c r="CX21" i="2"/>
  <c r="CW21" i="2"/>
  <c r="CX19" i="2"/>
  <c r="CW19" i="2"/>
  <c r="CX18" i="2"/>
  <c r="CW18" i="2"/>
  <c r="CX17" i="2"/>
  <c r="CW17" i="2"/>
  <c r="CX15" i="2"/>
  <c r="CW15" i="2"/>
  <c r="CX14" i="2"/>
  <c r="CW14" i="2"/>
  <c r="CX13" i="2"/>
  <c r="CW13" i="2"/>
  <c r="CX11" i="2"/>
  <c r="CW11" i="2"/>
  <c r="CX10" i="2"/>
  <c r="CW10" i="2"/>
  <c r="CX8" i="2"/>
  <c r="CW8" i="2"/>
  <c r="CX6" i="2"/>
  <c r="CW6" i="2"/>
  <c r="CX5" i="2"/>
  <c r="CW5" i="2"/>
  <c r="CX4" i="2"/>
  <c r="CW4" i="2"/>
  <c r="AI7" i="7" l="1"/>
  <c r="AI6" i="7"/>
  <c r="AI5" i="7"/>
  <c r="AF7" i="7"/>
  <c r="AF6" i="7"/>
  <c r="AF5" i="7"/>
  <c r="AC7" i="7" l="1"/>
  <c r="AC6" i="7"/>
  <c r="AC5" i="7"/>
  <c r="Z5" i="7"/>
  <c r="Z6" i="7"/>
  <c r="Z7" i="7"/>
  <c r="W7" i="7"/>
  <c r="W6" i="7"/>
  <c r="W5" i="7"/>
  <c r="CV5" i="7"/>
  <c r="H5" i="7"/>
  <c r="K5" i="7"/>
  <c r="N5" i="7"/>
  <c r="Q5" i="7"/>
  <c r="T5" i="7"/>
  <c r="T6" i="7"/>
  <c r="Q6" i="7"/>
  <c r="N6" i="7"/>
  <c r="K6" i="7"/>
  <c r="H6" i="7"/>
  <c r="H7" i="7"/>
  <c r="K7" i="7"/>
  <c r="Q7" i="7"/>
  <c r="T7" i="7"/>
  <c r="BW8" i="7" l="1"/>
  <c r="BT8" i="7"/>
  <c r="BQ8" i="7"/>
  <c r="BN8" i="7"/>
  <c r="BK8" i="7"/>
  <c r="BH8" i="7"/>
  <c r="BE8" i="7"/>
  <c r="BB8" i="7"/>
  <c r="AY8" i="7"/>
  <c r="AV8" i="7"/>
  <c r="AQ8" i="7"/>
  <c r="AP8" i="7"/>
  <c r="AO8" i="7"/>
  <c r="AN8" i="7" s="1"/>
  <c r="AM8" i="7"/>
  <c r="AL8" i="7"/>
  <c r="AK8" i="7" s="1"/>
  <c r="AJ8" i="7"/>
  <c r="AI8" i="7"/>
  <c r="AH8" i="7" s="1"/>
  <c r="AG8" i="7"/>
  <c r="AF8" i="7"/>
  <c r="AE8" i="7" s="1"/>
  <c r="AD8" i="7"/>
  <c r="AC8" i="7"/>
  <c r="AB8" i="7" s="1"/>
  <c r="AA8" i="7"/>
  <c r="Z8" i="7"/>
  <c r="Y8" i="7" s="1"/>
  <c r="X8" i="7"/>
  <c r="W8" i="7"/>
  <c r="V8" i="7" s="1"/>
  <c r="U8" i="7"/>
  <c r="T8" i="7"/>
  <c r="S8" i="7" s="1"/>
  <c r="R8" i="7"/>
  <c r="Q8" i="7"/>
  <c r="P8" i="7" s="1"/>
  <c r="O8" i="7"/>
  <c r="N8" i="7"/>
  <c r="M8" i="7"/>
  <c r="L8" i="7"/>
  <c r="K8" i="7"/>
  <c r="J8" i="7" s="1"/>
  <c r="I8" i="7"/>
  <c r="H8" i="7"/>
  <c r="G8" i="7" s="1"/>
  <c r="F8" i="7"/>
  <c r="E8" i="7"/>
  <c r="CX7" i="7"/>
  <c r="CV7" i="7"/>
  <c r="CY7" i="7" s="1"/>
  <c r="CW7" i="7"/>
  <c r="CX6" i="7"/>
  <c r="CV6" i="7"/>
  <c r="CY6" i="7" s="1"/>
  <c r="CW6" i="7"/>
  <c r="CX5" i="7"/>
  <c r="CW5" i="7"/>
  <c r="BV8" i="7"/>
  <c r="BS8" i="7"/>
  <c r="BP8" i="7"/>
  <c r="BM8" i="7"/>
  <c r="BJ8" i="7"/>
  <c r="BI8" i="7" s="1"/>
  <c r="BG8" i="7"/>
  <c r="BF8" i="7" s="1"/>
  <c r="BD8" i="7"/>
  <c r="BC8" i="7" s="1"/>
  <c r="BA8" i="7"/>
  <c r="AX8" i="7"/>
  <c r="CW8" i="7" l="1"/>
  <c r="CV8" i="7" s="1"/>
  <c r="CY8" i="7" s="1"/>
  <c r="CX8" i="7"/>
  <c r="AZ8" i="7"/>
  <c r="CY5" i="7"/>
  <c r="BO8" i="7"/>
  <c r="AU8" i="7"/>
  <c r="AT8" i="7" s="1"/>
  <c r="AW8" i="7"/>
  <c r="BR8" i="7"/>
  <c r="BU8" i="7"/>
  <c r="BL8" i="7"/>
  <c r="CN42" i="7"/>
  <c r="CN40" i="7"/>
  <c r="CN41" i="7"/>
  <c r="CK41" i="7"/>
  <c r="CK40" i="7"/>
  <c r="CH42" i="7" l="1"/>
  <c r="CH41" i="7"/>
  <c r="CH40" i="7"/>
  <c r="CE40" i="7"/>
  <c r="CE41" i="7"/>
  <c r="CE42" i="7"/>
  <c r="CB42" i="7"/>
  <c r="CB41" i="7"/>
  <c r="CB40" i="7"/>
  <c r="BY41" i="7"/>
  <c r="BY40" i="7"/>
  <c r="BY42" i="7"/>
  <c r="BW43" i="7"/>
  <c r="AQ43" i="7"/>
  <c r="BV42" i="7"/>
  <c r="BV41" i="7"/>
  <c r="BV40" i="7"/>
  <c r="BV43" i="7" l="1"/>
  <c r="BU43" i="7" s="1"/>
  <c r="BS42" i="7"/>
  <c r="BT43" i="7"/>
  <c r="BS41" i="7"/>
  <c r="BS40" i="7"/>
  <c r="CV40" i="7"/>
  <c r="CY40" i="7" s="1"/>
  <c r="CV41" i="7"/>
  <c r="BQ43" i="7"/>
  <c r="BN43" i="7"/>
  <c r="BK43" i="7"/>
  <c r="BH43" i="7"/>
  <c r="BE43" i="7"/>
  <c r="CV42" i="7"/>
  <c r="BP41" i="7"/>
  <c r="BP42" i="7"/>
  <c r="BP40" i="7"/>
  <c r="BM42" i="7"/>
  <c r="BM41" i="7"/>
  <c r="BM40" i="7"/>
  <c r="BD40" i="7"/>
  <c r="BG40" i="7"/>
  <c r="BJ40" i="7"/>
  <c r="BJ42" i="7"/>
  <c r="BJ41" i="7"/>
  <c r="BG41" i="7"/>
  <c r="BD41" i="7"/>
  <c r="BB43" i="7"/>
  <c r="BA41" i="7"/>
  <c r="BA40" i="7"/>
  <c r="BA42" i="7"/>
  <c r="CY23" i="2"/>
  <c r="CY24" i="2"/>
  <c r="CY26" i="2"/>
  <c r="CY27" i="2"/>
  <c r="CY29" i="2"/>
  <c r="AY43" i="7"/>
  <c r="AX41" i="7"/>
  <c r="AX42" i="7"/>
  <c r="AX40" i="7"/>
  <c r="AU42" i="7"/>
  <c r="AV43" i="7"/>
  <c r="AU41" i="7"/>
  <c r="AU40" i="7"/>
  <c r="A1" i="7"/>
  <c r="A1" i="2"/>
  <c r="CW40" i="7" l="1"/>
  <c r="AU43" i="7"/>
  <c r="AT43" i="7" s="1"/>
  <c r="AX43" i="7"/>
  <c r="AW43" i="7" s="1"/>
  <c r="BA43" i="7"/>
  <c r="AZ43" i="7" s="1"/>
  <c r="BJ43" i="7"/>
  <c r="BI43" i="7" s="1"/>
  <c r="BG43" i="7"/>
  <c r="BF43" i="7" s="1"/>
  <c r="BD43" i="7"/>
  <c r="BC43" i="7" s="1"/>
  <c r="BM43" i="7"/>
  <c r="BL43" i="7" s="1"/>
  <c r="BP43" i="7"/>
  <c r="BO43" i="7" s="1"/>
  <c r="BS43" i="7"/>
  <c r="BR43" i="7" s="1"/>
  <c r="AP43" i="7"/>
  <c r="AO43" i="7"/>
  <c r="AN43" i="7" s="1"/>
  <c r="AM43" i="7"/>
  <c r="AL43" i="7"/>
  <c r="AK43" i="7" s="1"/>
  <c r="AJ43" i="7"/>
  <c r="AI43" i="7"/>
  <c r="AH43" i="7" s="1"/>
  <c r="AG43" i="7"/>
  <c r="AF43" i="7"/>
  <c r="AE43" i="7" s="1"/>
  <c r="AD43" i="7"/>
  <c r="AC43" i="7"/>
  <c r="AB43" i="7" s="1"/>
  <c r="AA43" i="7"/>
  <c r="Z43" i="7"/>
  <c r="Y43" i="7" s="1"/>
  <c r="X43" i="7"/>
  <c r="W43" i="7"/>
  <c r="V43" i="7" s="1"/>
  <c r="U43" i="7"/>
  <c r="T43" i="7"/>
  <c r="S43" i="7" s="1"/>
  <c r="R43" i="7"/>
  <c r="Q43" i="7"/>
  <c r="P43" i="7" s="1"/>
  <c r="O43" i="7"/>
  <c r="N43" i="7"/>
  <c r="M43" i="7" s="1"/>
  <c r="L43" i="7"/>
  <c r="K43" i="7"/>
  <c r="J43" i="7" s="1"/>
  <c r="I43" i="7"/>
  <c r="H43" i="7"/>
  <c r="G43" i="7" s="1"/>
  <c r="F43" i="7"/>
  <c r="E43" i="7"/>
  <c r="CY42" i="7"/>
  <c r="CX42" i="7"/>
  <c r="CW42" i="7"/>
  <c r="CY41" i="7"/>
  <c r="CX41" i="7"/>
  <c r="CW41" i="7"/>
  <c r="CX40" i="7"/>
  <c r="CW43" i="7" l="1"/>
  <c r="CV43" i="7" s="1"/>
  <c r="CY43" i="7" s="1"/>
  <c r="CX43" i="7"/>
  <c r="F39" i="1"/>
  <c r="F38" i="1"/>
  <c r="F37" i="1"/>
  <c r="G35" i="1"/>
  <c r="G34" i="1"/>
  <c r="G33" i="1"/>
  <c r="F35" i="1"/>
  <c r="F34" i="1"/>
  <c r="F33" i="1"/>
  <c r="G22" i="1"/>
  <c r="G21" i="1"/>
  <c r="G20" i="1"/>
  <c r="G19" i="1"/>
  <c r="G18" i="1"/>
  <c r="I33" i="1" l="1"/>
  <c r="F36" i="1"/>
  <c r="D40" i="1"/>
  <c r="D36" i="1"/>
  <c r="H34" i="1" l="1"/>
  <c r="H35" i="1"/>
  <c r="F40" i="1"/>
  <c r="G36" i="1"/>
  <c r="I35" i="1"/>
  <c r="H33" i="1"/>
  <c r="I34" i="1"/>
  <c r="CY14" i="2"/>
  <c r="CY5" i="2"/>
  <c r="CY6" i="2"/>
  <c r="CY8" i="2"/>
  <c r="CY10" i="2"/>
  <c r="CY11" i="2"/>
  <c r="CY15" i="2"/>
  <c r="CY16" i="2"/>
  <c r="CY17" i="2"/>
  <c r="CY18" i="2"/>
  <c r="CY19" i="2"/>
  <c r="CY21" i="2"/>
  <c r="CY22" i="2"/>
  <c r="CY4" i="2"/>
  <c r="H36" i="1" l="1"/>
  <c r="I36" i="1"/>
  <c r="E2" i="1" l="1"/>
  <c r="F2" i="1" s="1"/>
  <c r="G27" i="1"/>
  <c r="I12" i="1" l="1"/>
  <c r="I6" i="1"/>
  <c r="F21" i="2"/>
  <c r="F13" i="2"/>
  <c r="F10" i="2"/>
  <c r="F22" i="2" l="1"/>
  <c r="H14" i="1"/>
  <c r="I14" i="1"/>
  <c r="H15" i="1"/>
  <c r="I15" i="1"/>
  <c r="H13" i="1"/>
  <c r="I13" i="1"/>
  <c r="H16" i="1"/>
  <c r="I16" i="1"/>
  <c r="H4" i="1"/>
  <c r="I4" i="1"/>
  <c r="H5" i="1"/>
  <c r="I5" i="1"/>
  <c r="H7" i="1"/>
  <c r="I7" i="1"/>
  <c r="H8" i="1"/>
  <c r="I8" i="1"/>
  <c r="H9" i="1"/>
  <c r="I9" i="1"/>
  <c r="H10" i="1"/>
  <c r="I10" i="1"/>
  <c r="I17" i="1"/>
  <c r="H12" i="1"/>
  <c r="I11" i="1"/>
  <c r="H6" i="1"/>
  <c r="E26" i="1"/>
  <c r="E25" i="1"/>
  <c r="E24" i="1"/>
  <c r="D27" i="1"/>
  <c r="E27" i="1" s="1"/>
  <c r="CY13" i="2"/>
  <c r="E21" i="2"/>
  <c r="E13" i="2"/>
  <c r="E10" i="2"/>
  <c r="E19" i="1"/>
  <c r="E20" i="1"/>
  <c r="E21" i="1"/>
  <c r="E22" i="1"/>
  <c r="E18" i="1"/>
  <c r="H17" i="1" l="1"/>
  <c r="H11" i="1"/>
  <c r="F27" i="1"/>
  <c r="E23" i="1"/>
  <c r="E22" i="2"/>
  <c r="G23" i="1"/>
  <c r="D23" i="1"/>
  <c r="F25" i="1" l="1"/>
  <c r="H25" i="1" s="1"/>
  <c r="F26" i="1"/>
  <c r="I26" i="1" s="1"/>
  <c r="F24" i="1"/>
  <c r="I24" i="1" s="1"/>
  <c r="F20" i="1"/>
  <c r="I20" i="1" s="1"/>
  <c r="F22" i="1"/>
  <c r="I22" i="1" s="1"/>
  <c r="F21" i="1"/>
  <c r="I21" i="1" s="1"/>
  <c r="F18" i="1"/>
  <c r="H18" i="1" s="1"/>
  <c r="H27" i="1"/>
  <c r="I27" i="1"/>
  <c r="F19" i="1"/>
  <c r="I19" i="1" s="1"/>
  <c r="I25" i="1" l="1"/>
  <c r="H26" i="1"/>
  <c r="H21" i="1"/>
  <c r="H20" i="1"/>
  <c r="H19" i="1"/>
  <c r="I18" i="1"/>
  <c r="H22" i="1"/>
  <c r="H24" i="1"/>
  <c r="F23" i="1"/>
  <c r="I23" i="1" s="1"/>
  <c r="H23" i="1" l="1"/>
  <c r="G37" i="1" l="1"/>
  <c r="G38" i="1"/>
  <c r="G39" i="1"/>
  <c r="H39" i="1" l="1"/>
  <c r="I39" i="1"/>
  <c r="H38" i="1"/>
  <c r="I38" i="1"/>
  <c r="G40" i="1"/>
  <c r="I37" i="1"/>
  <c r="H37" i="1"/>
  <c r="H40" i="1" l="1"/>
  <c r="I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Sasitorn Chopson</author>
  </authors>
  <commentList>
    <comment ref="AW4" authorId="0" shapeId="0" xr:uid="{E8ED1D4E-13C8-4E7E-BF25-088A4B404C42}">
      <text>
        <r>
          <rPr>
            <b/>
            <sz val="9"/>
            <color indexed="81"/>
            <rFont val="Tahoma"/>
            <family val="2"/>
          </rPr>
          <t>Sasitorn Chopson:</t>
        </r>
        <r>
          <rPr>
            <sz val="9"/>
            <color indexed="81"/>
            <rFont val="Tahoma"/>
            <family val="2"/>
          </rPr>
          <t xml:space="preserve">
Effect from Inp Down P&amp;P and App Flash+ </t>
        </r>
      </text>
    </comment>
    <comment ref="AW6" authorId="0" shapeId="0" xr:uid="{5FF6241E-1879-4AE4-B06B-BC5495EC21D0}">
      <text>
        <r>
          <rPr>
            <b/>
            <sz val="9"/>
            <color indexed="81"/>
            <rFont val="Tahoma"/>
            <family val="2"/>
          </rPr>
          <t>Sasitorn Chopson:</t>
        </r>
        <r>
          <rPr>
            <sz val="9"/>
            <color indexed="81"/>
            <rFont val="Tahoma"/>
            <family val="2"/>
          </rPr>
          <t xml:space="preserve">
Effect from B30E337M NPD P/N</t>
        </r>
      </text>
    </comment>
    <comment ref="AW8" authorId="0" shapeId="0" xr:uid="{115D0865-5DD5-4543-88BF-7EA9E9B47565}">
      <text>
        <r>
          <rPr>
            <b/>
            <sz val="9"/>
            <color indexed="81"/>
            <rFont val="Tahoma"/>
            <family val="2"/>
          </rPr>
          <t>Sasitorn Chopson:</t>
        </r>
        <r>
          <rPr>
            <sz val="9"/>
            <color indexed="81"/>
            <rFont val="Tahoma"/>
            <family val="2"/>
          </rPr>
          <t xml:space="preserve">
Effect from SH2 and ACC</t>
        </r>
      </text>
    </comment>
    <comment ref="AW11" authorId="0" shapeId="0" xr:uid="{4ED19747-53F9-4A16-970A-995E30CA8BB4}">
      <text>
        <r>
          <rPr>
            <b/>
            <sz val="9"/>
            <color indexed="81"/>
            <rFont val="Tahoma"/>
            <family val="2"/>
          </rPr>
          <t>Sasitorn Chopson:</t>
        </r>
        <r>
          <rPr>
            <sz val="9"/>
            <color indexed="81"/>
            <rFont val="Tahoma"/>
            <family val="2"/>
          </rPr>
          <t xml:space="preserve">
Effect from Inproc Up bubble issue</t>
        </r>
      </text>
    </comment>
    <comment ref="AW14" authorId="0" shapeId="0" xr:uid="{3205BC76-052B-4519-80F1-6EEAA43F3219}">
      <text>
        <r>
          <rPr>
            <b/>
            <sz val="9"/>
            <color indexed="81"/>
            <rFont val="Tahoma"/>
            <family val="2"/>
          </rPr>
          <t>Sasitorn Chopson:</t>
        </r>
        <r>
          <rPr>
            <sz val="9"/>
            <color indexed="81"/>
            <rFont val="Tahoma"/>
            <family val="2"/>
          </rPr>
          <t xml:space="preserve">
Effect from App Terminal red</t>
        </r>
      </text>
    </comment>
    <comment ref="AW15" authorId="0" shapeId="0" xr:uid="{33F411B9-C0CD-4C2D-BB52-F12A4980984F}">
      <text>
        <r>
          <rPr>
            <b/>
            <sz val="9"/>
            <color indexed="81"/>
            <rFont val="Tahoma"/>
            <family val="2"/>
          </rPr>
          <t>Sasitorn Chopson:</t>
        </r>
        <r>
          <rPr>
            <sz val="9"/>
            <color indexed="81"/>
            <rFont val="Tahoma"/>
            <family val="2"/>
          </rPr>
          <t xml:space="preserve">
Effect from ACC of B30J157 and LC of B30E227</t>
        </r>
      </text>
    </comment>
    <comment ref="AW16" authorId="0" shapeId="0" xr:uid="{0028E623-955E-48B0-9D4B-FB70570A2A13}">
      <text>
        <r>
          <rPr>
            <b/>
            <sz val="9"/>
            <color indexed="81"/>
            <rFont val="Tahoma"/>
            <family val="2"/>
          </rPr>
          <t>Sasitorn Chopson:</t>
        </r>
        <r>
          <rPr>
            <sz val="9"/>
            <color indexed="81"/>
            <rFont val="Tahoma"/>
            <family val="2"/>
          </rPr>
          <t xml:space="preserve">
Effect from B150J227 NPD P/N</t>
        </r>
      </text>
    </comment>
    <comment ref="AW18" authorId="0" shapeId="0" xr:uid="{89CCE6C9-3E6C-4557-9E76-5869B9000C42}">
      <text>
        <r>
          <rPr>
            <b/>
            <sz val="9"/>
            <color indexed="81"/>
            <rFont val="Tahoma"/>
            <family val="2"/>
          </rPr>
          <t>Sasitorn Chopson:</t>
        </r>
        <r>
          <rPr>
            <sz val="9"/>
            <color indexed="81"/>
            <rFont val="Tahoma"/>
            <family val="2"/>
          </rPr>
          <t xml:space="preserve">
Effect from Inproc Up bubble issue</t>
        </r>
      </text>
    </comment>
    <comment ref="AW19" authorId="0" shapeId="0" xr:uid="{6AA06E92-34E7-400F-9835-EF95A7FE5A33}">
      <text>
        <r>
          <rPr>
            <b/>
            <sz val="9"/>
            <color indexed="81"/>
            <rFont val="Tahoma"/>
            <family val="2"/>
          </rPr>
          <t>Sasitorn Chopson:</t>
        </r>
        <r>
          <rPr>
            <sz val="9"/>
            <color indexed="81"/>
            <rFont val="Tahoma"/>
            <family val="2"/>
          </rPr>
          <t xml:space="preserve">
Effect from Capacitance minus</t>
        </r>
      </text>
    </comment>
    <comment ref="AW23" authorId="0" shapeId="0" xr:uid="{1E6C28E8-7A89-4377-9A9F-645ABE91D3F1}">
      <text>
        <r>
          <rPr>
            <b/>
            <sz val="9"/>
            <color indexed="81"/>
            <rFont val="Tahoma"/>
            <family val="2"/>
          </rPr>
          <t>Sasitorn Chopson:</t>
        </r>
        <r>
          <rPr>
            <sz val="9"/>
            <color indexed="81"/>
            <rFont val="Tahoma"/>
            <family val="2"/>
          </rPr>
          <t xml:space="preserve">
Effect from App Terminal red</t>
        </r>
      </text>
    </comment>
    <comment ref="AW24" authorId="0" shapeId="0" xr:uid="{3AEC13AA-F7DD-42F4-ADA2-1F04340A7899}">
      <text>
        <r>
          <rPr>
            <b/>
            <sz val="9"/>
            <color indexed="81"/>
            <rFont val="Tahoma"/>
            <family val="2"/>
          </rPr>
          <t>Sasitorn Chopson:</t>
        </r>
        <r>
          <rPr>
            <sz val="9"/>
            <color indexed="81"/>
            <rFont val="Tahoma"/>
            <family val="2"/>
          </rPr>
          <t xml:space="preserve">
Effect from ACC of B30J157 and LC of B30E227</t>
        </r>
      </text>
    </comment>
    <comment ref="AW26" authorId="0" shapeId="0" xr:uid="{AE2FC27A-3E3E-465F-B871-B59067F5614F}">
      <text>
        <r>
          <rPr>
            <b/>
            <sz val="9"/>
            <color indexed="81"/>
            <rFont val="Tahoma"/>
            <family val="2"/>
          </rPr>
          <t>Sasitorn Chopson:</t>
        </r>
        <r>
          <rPr>
            <sz val="9"/>
            <color indexed="81"/>
            <rFont val="Tahoma"/>
            <family val="2"/>
          </rPr>
          <t xml:space="preserve">
Effect from B150J227 NPD P/N</t>
        </r>
      </text>
    </comment>
    <comment ref="AW28" authorId="0" shapeId="0" xr:uid="{DB4DC2F4-67A8-4048-B573-6E31876A9052}">
      <text>
        <r>
          <rPr>
            <b/>
            <sz val="9"/>
            <color indexed="81"/>
            <rFont val="Tahoma"/>
            <family val="2"/>
          </rPr>
          <t>Sasitorn Chopson:</t>
        </r>
        <r>
          <rPr>
            <sz val="9"/>
            <color indexed="81"/>
            <rFont val="Tahoma"/>
            <family val="2"/>
          </rPr>
          <t xml:space="preserve">
Effect from Inproc Up bubble issue</t>
        </r>
      </text>
    </comment>
    <comment ref="AW29" authorId="0" shapeId="0" xr:uid="{F94EF570-8583-4E0F-955E-DD90F7397751}">
      <text>
        <r>
          <rPr>
            <b/>
            <sz val="9"/>
            <color indexed="81"/>
            <rFont val="Tahoma"/>
            <family val="2"/>
          </rPr>
          <t>Sasitorn Chopson:</t>
        </r>
        <r>
          <rPr>
            <sz val="9"/>
            <color indexed="81"/>
            <rFont val="Tahoma"/>
            <family val="2"/>
          </rPr>
          <t xml:space="preserve">
Effect from Capacitance minus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Thananporn Kwankijsakol</author>
  </authors>
  <commentList>
    <comment ref="AB40" authorId="0" shapeId="0" xr:uid="{EB1FF957-1C15-4EBD-860D-A7BF43F66AB3}">
      <text>
        <r>
          <rPr>
            <sz val="11"/>
            <color theme="1"/>
            <rFont val="Aptos Narrow"/>
            <family val="2"/>
            <scheme val="minor"/>
          </rPr>
          <t>Thananporn Kwankijsakol:
CAN Big - small lot size</t>
        </r>
      </text>
    </comment>
    <comment ref="BL40" authorId="0" shapeId="0" xr:uid="{7522BB3C-11D4-4EF8-9944-142445B149A7}">
      <text>
        <r>
          <rPr>
            <sz val="11"/>
            <color theme="1"/>
            <rFont val="Aptos Narrow"/>
            <family val="2"/>
            <scheme val="minor"/>
          </rPr>
          <t>Thananporn Kwankijsakol:
Big size product</t>
        </r>
      </text>
    </comment>
    <comment ref="BO40" authorId="0" shapeId="0" xr:uid="{81E56191-D3BB-4E90-8E6A-E02E05398A3B}">
      <text>
        <r>
          <rPr>
            <sz val="11"/>
            <color theme="1"/>
            <rFont val="Aptos Narrow"/>
            <family val="2"/>
            <scheme val="minor"/>
          </rPr>
          <t>Thananporn Kwankijsakol:
Re-screen leak</t>
        </r>
      </text>
    </comment>
    <comment ref="BR40" authorId="0" shapeId="0" xr:uid="{84C7B590-85B0-4A67-AF81-D254944CD80C}">
      <text>
        <r>
          <rPr>
            <b/>
            <sz val="9"/>
            <color indexed="81"/>
            <rFont val="Tahoma"/>
            <family val="2"/>
          </rPr>
          <t>Thananporn Kwankijsakol:</t>
        </r>
        <r>
          <rPr>
            <sz val="9"/>
            <color indexed="81"/>
            <rFont val="Tahoma"/>
            <family val="2"/>
          </rPr>
          <t xml:space="preserve">
C def of 17MUF from low paste printing</t>
        </r>
      </text>
    </comment>
    <comment ref="AN41" authorId="0" shapeId="0" xr:uid="{38379B87-A395-47D7-A494-2EF765C6F000}">
      <text>
        <r>
          <rPr>
            <sz val="11"/>
            <color theme="1"/>
            <rFont val="Aptos Narrow"/>
            <family val="2"/>
            <scheme val="minor"/>
          </rPr>
          <t>Thananporn Kwankijsakol:
FC big size 1 lot operated in CAN line.</t>
        </r>
      </text>
    </comment>
    <comment ref="AQ41" authorId="0" shapeId="0" xr:uid="{C795EA44-97D9-41ED-BE93-9D74D7287EA5}">
      <text>
        <r>
          <rPr>
            <sz val="11"/>
            <color theme="1"/>
            <rFont val="Aptos Narrow"/>
            <family val="2"/>
            <scheme val="minor"/>
          </rPr>
          <t>Thananporn Kwankijsakol:
FC Big size 1 lot</t>
        </r>
      </text>
    </comment>
    <comment ref="M42" authorId="0" shapeId="0" xr:uid="{5A59C3CB-38E2-4A52-8A71-58F58EB56D7D}">
      <text>
        <r>
          <rPr>
            <sz val="11"/>
            <color theme="1"/>
            <rFont val="Aptos Narrow"/>
            <family val="2"/>
            <scheme val="minor"/>
          </rPr>
          <t>Thananporn Kwankijsakol:
Split lot with small q'ty has LC charging incomplete problem</t>
        </r>
      </text>
    </comment>
  </commentList>
</comments>
</file>

<file path=xl/sharedStrings.xml><?xml version="1.0" encoding="utf-8"?>
<sst xmlns="http://schemas.openxmlformats.org/spreadsheetml/2006/main" count="1097" uniqueCount="289">
  <si>
    <t>Start date</t>
  </si>
  <si>
    <t>Prod Vol (Output-KP)</t>
  </si>
  <si>
    <t>Today</t>
  </si>
  <si>
    <t>Process</t>
  </si>
  <si>
    <t>Series/Case</t>
  </si>
  <si>
    <t>Jul'26 Target</t>
  </si>
  <si>
    <t>Daily Goal</t>
  </si>
  <si>
    <t>MTD Goal</t>
  </si>
  <si>
    <t>MTD</t>
  </si>
  <si>
    <t>Pace</t>
  </si>
  <si>
    <t>Performance MTD</t>
  </si>
  <si>
    <t>TaPoly</t>
  </si>
  <si>
    <t>TET's anode</t>
  </si>
  <si>
    <t>All</t>
  </si>
  <si>
    <t>Racking</t>
  </si>
  <si>
    <t>BOL (Silver)</t>
  </si>
  <si>
    <t>PSLA</t>
  </si>
  <si>
    <t>PSLB</t>
  </si>
  <si>
    <t>FPSA</t>
  </si>
  <si>
    <t>FPSB</t>
  </si>
  <si>
    <t>GPSP2</t>
  </si>
  <si>
    <t>Total</t>
  </si>
  <si>
    <t>EOL (E/I)</t>
  </si>
  <si>
    <t>Final (901)</t>
  </si>
  <si>
    <t>SC</t>
  </si>
  <si>
    <t>Can</t>
  </si>
  <si>
    <t>FC</t>
  </si>
  <si>
    <t>FM</t>
  </si>
  <si>
    <t>TTL FG</t>
  </si>
  <si>
    <t>Shipping (KP)</t>
  </si>
  <si>
    <t>PSL+PSG</t>
  </si>
  <si>
    <t>FPS+FPU</t>
  </si>
  <si>
    <t>GPS</t>
  </si>
  <si>
    <t>TTL</t>
  </si>
  <si>
    <t>Target (Aug'26)</t>
  </si>
  <si>
    <t>Sub</t>
  </si>
  <si>
    <t>Case</t>
  </si>
  <si>
    <t>%Yield</t>
  </si>
  <si>
    <t>Output (KP)</t>
  </si>
  <si>
    <t>Lot</t>
  </si>
  <si>
    <t>Diff with Target</t>
  </si>
  <si>
    <t>FPS</t>
  </si>
  <si>
    <t>A3</t>
  </si>
  <si>
    <t>(E/I)</t>
  </si>
  <si>
    <t>A2</t>
  </si>
  <si>
    <t>B3</t>
  </si>
  <si>
    <t>B10</t>
  </si>
  <si>
    <t>A08</t>
  </si>
  <si>
    <t>FPU</t>
  </si>
  <si>
    <t xml:space="preserve">FACE DOWN </t>
  </si>
  <si>
    <t>P2</t>
  </si>
  <si>
    <t xml:space="preserve">GPS </t>
  </si>
  <si>
    <t>PSL</t>
  </si>
  <si>
    <t>A</t>
  </si>
  <si>
    <t>B15</t>
  </si>
  <si>
    <t>B2</t>
  </si>
  <si>
    <t>PSG</t>
  </si>
  <si>
    <t>PSH</t>
  </si>
  <si>
    <t>PSU</t>
  </si>
  <si>
    <t xml:space="preserve">STD </t>
  </si>
  <si>
    <t xml:space="preserve">Grand </t>
  </si>
  <si>
    <t>By P/N</t>
  </si>
  <si>
    <t>A081C226M</t>
  </si>
  <si>
    <t>A30J107M</t>
  </si>
  <si>
    <t>B30E337</t>
  </si>
  <si>
    <t>B20E337M</t>
  </si>
  <si>
    <t>B20E477M</t>
  </si>
  <si>
    <t>B20J227M25SK8R</t>
  </si>
  <si>
    <t>B30J157M</t>
  </si>
  <si>
    <t>Date</t>
  </si>
  <si>
    <t>Series</t>
  </si>
  <si>
    <t>Problem</t>
  </si>
  <si>
    <t>Analysis/ Action</t>
  </si>
  <si>
    <t>PIC</t>
  </si>
  <si>
    <t>Progress</t>
  </si>
  <si>
    <t>Due Date</t>
  </si>
  <si>
    <t>FPSA3
(A30J107)</t>
  </si>
  <si>
    <r>
      <rPr>
        <sz val="9"/>
        <color rgb="FF000000"/>
        <rFont val="Arial"/>
      </rPr>
      <t xml:space="preserve">
</t>
    </r>
    <r>
      <rPr>
        <b/>
        <sz val="9"/>
        <color rgb="FF000000"/>
        <rFont val="Arial"/>
      </rPr>
      <t xml:space="preserve">ESR
</t>
    </r>
    <r>
      <rPr>
        <sz val="9"/>
        <color rgb="FF000000"/>
        <rFont val="Arial"/>
      </rPr>
      <t xml:space="preserve">Problem from L/F lot
and Problems beyond L/F.
Inprocess-DW
</t>
    </r>
    <r>
      <rPr>
        <b/>
        <sz val="9"/>
        <color rgb="FF000000"/>
        <rFont val="Arial"/>
      </rPr>
      <t>CAM3</t>
    </r>
    <r>
      <rPr>
        <sz val="9"/>
        <color rgb="FF000000"/>
        <rFont val="Arial"/>
      </rPr>
      <t xml:space="preserve"> Dimension
</t>
    </r>
  </si>
  <si>
    <r>
      <rPr>
        <b/>
        <sz val="9"/>
        <color rgb="FF000000"/>
        <rFont val="Arial"/>
      </rPr>
      <t>ESR</t>
    </r>
    <r>
      <rPr>
        <sz val="9"/>
        <color rgb="FF000000"/>
        <rFont val="Arial"/>
      </rPr>
      <t xml:space="preserve"> :
Remaining WIP for L/F problem =  6    Lots
Problems beyond L/F. --&gt; Focus to Mold clamp.
</t>
    </r>
    <r>
      <rPr>
        <b/>
        <sz val="9"/>
        <color rgb="FF000000"/>
        <rFont val="Arial"/>
      </rPr>
      <t xml:space="preserve">CAM-3 </t>
    </r>
    <r>
      <rPr>
        <sz val="9"/>
        <color rgb="FF000000"/>
        <rFont val="Arial"/>
      </rPr>
      <t>defect occurrence appears to be related to both the dicing process and the Pick &amp; Place (P&amp;P) machine. A significant difference in defect levels has been observed among machines, with some showing normal performance while others exhibit considerably higher defect rates.</t>
    </r>
  </si>
  <si>
    <t>Mr. Jirapat
Mr. Pawekorn</t>
  </si>
  <si>
    <t>ESR
'1. Feedback to supplier about L/F dimension.
2. Standardize L/F dimensional control to reduce ESR variation.</t>
  </si>
  <si>
    <t>FPSA08
(A081C226)</t>
  </si>
  <si>
    <r>
      <rPr>
        <sz val="9"/>
        <color rgb="FF000000"/>
        <rFont val="Arial"/>
      </rPr>
      <t xml:space="preserve">In-process-DW
</t>
    </r>
    <r>
      <rPr>
        <b/>
        <sz val="9"/>
        <color rgb="FF000000"/>
        <rFont val="Arial"/>
      </rPr>
      <t>CAM3</t>
    </r>
    <r>
      <rPr>
        <sz val="9"/>
        <color rgb="FF000000"/>
        <rFont val="Arial"/>
      </rPr>
      <t xml:space="preserve"> Dimension
CAM2 Mold-chip</t>
    </r>
  </si>
  <si>
    <t>CAM-3 defect occurrence appears to be related to both the dicing process and the Pick &amp; Place (P&amp;P) machine. A significant difference in defect levels has been observed among machines, with some showing normal performance while others exhibit considerably higher defect rates.
LC shift at ACC is a reversible heat and moisture effect, not permanent dielectric damage. The recovery after M-Treatment confirms that the change is temporary and moisture-related.
SMT LC shift is a reversible thermal/moisture-related phenomenon rather than permanent degradation.</t>
  </si>
  <si>
    <t xml:space="preserve">Ms. Sasitorn
Ms. Chotmanee
</t>
  </si>
  <si>
    <t xml:space="preserve">
CAM-3 : Further investigation is required to identify the specific machine conditions and mechanisms contributing to the variation.
ACC/SMT
- Temporary Action: Optimize moisture control during ACC/SMT to minimize the reversible LC shift.
- Permanent Action: Identify and eliminate the root cause at ACC by improving dielectric uniformity and stability.
</t>
  </si>
  <si>
    <t>PSGB2
(B20E337)</t>
  </si>
  <si>
    <t>ESR
Blister: Conveyer machine make bubble of GB2,B2</t>
  </si>
  <si>
    <r>
      <rPr>
        <b/>
        <sz val="9"/>
        <color rgb="FF000000"/>
        <rFont val="Arial"/>
      </rPr>
      <t>ESR</t>
    </r>
    <r>
      <rPr>
        <sz val="9"/>
        <color rgb="FF000000"/>
        <rFont val="Arial"/>
      </rPr>
      <t xml:space="preserve"> was high deviation in some lot, PSGB2 was high sensivity.
(1) From analysis found polymer had black spot at internal polymer that means inner is not cover well
(2)Another is insulate of polymer was not get good insulatuin peak so LC high &amp; get ESR high also.
</t>
    </r>
    <r>
      <rPr>
        <b/>
        <sz val="9"/>
        <color rgb="FF000000"/>
        <rFont val="Arial"/>
      </rPr>
      <t xml:space="preserve">Blister </t>
    </r>
    <r>
      <rPr>
        <sz val="9"/>
        <color rgb="FF000000"/>
        <rFont val="Arial"/>
      </rPr>
      <t>: Conveyer had high temp &amp; low hu at machine no Z1, EE BOL already fix it &amp; GB2 case specify to not apply this machine (shape of anode were effect to blister).</t>
    </r>
  </si>
  <si>
    <t>Ms. Supatsara
Ms. Paemika
Ms. Kanlaya</t>
  </si>
  <si>
    <t>First, conduct a detailed analysis to identify the process factors contributing to the ESR differences between the low ESR and high ESR groups, and determine the key parameters driving the variation
We are currently investigating potential blister formation associated with abnormalities in the NR conveyor of the Z1 equipment. The objective is to clarify the blister formation mechanism, identify the root cause, and implement permanent corrective actions to prevent recurrence.</t>
  </si>
  <si>
    <t>PSLB2
(B20E477)</t>
  </si>
  <si>
    <t>ESR 
High powder grade
LC
Weak at welding machine</t>
  </si>
  <si>
    <r>
      <rPr>
        <b/>
        <sz val="9"/>
        <color rgb="FF000000"/>
        <rFont val="Arial"/>
      </rPr>
      <t>ESR</t>
    </r>
    <r>
      <rPr>
        <sz val="9"/>
        <color rgb="FF000000"/>
        <rFont val="Arial"/>
      </rPr>
      <t xml:space="preserve"> level and variability increased after 250KCV implementation. However, the presence of both good and bad lots suggests that process variation remains, requiring further investigation to identify and eliminate the sources of inconsistency
</t>
    </r>
    <r>
      <rPr>
        <b/>
        <sz val="9"/>
        <color rgb="FF000000"/>
        <rFont val="Arial"/>
      </rPr>
      <t>LC</t>
    </r>
    <r>
      <rPr>
        <sz val="9"/>
        <color rgb="FF000000"/>
        <rFont val="Arial"/>
      </rPr>
      <t xml:space="preserve"> --&gt; check LC tendency by M/C amd LC before/after welding</t>
    </r>
  </si>
  <si>
    <t>First, conduct a detailed analysis to identify the process factors contributing to the ESR differences between the low ESR and high ESR groups, and determine the key parameters driving the variation
QOD to improve LC by change M-Aging volt from 2.5 to 5V
(Today Aug 13'26 apply 3 lot of change review)
--&gt;This action will get benefit to ESR</t>
  </si>
  <si>
    <t>E/Aug'26</t>
  </si>
  <si>
    <t>PSLB2
(B20J107)
(B21A107)
(B21C336)</t>
  </si>
  <si>
    <t>App : Terminal Red</t>
  </si>
  <si>
    <t xml:space="preserve">From Analysis data
-Gule mixing condition was not good (A&amp;B) was not mix well
-Consider another factor </t>
  </si>
  <si>
    <t>Ms. Supatsara
Ms. Chantira
Mr. Nonthawat</t>
  </si>
  <si>
    <t>-Finished experiment Mazerustar mixing machine, get good result for homogenous
-Trial on 13 Aug,26 on 2HD(FA8) welding machine 3 lots, wait for result</t>
  </si>
  <si>
    <t>PSLB15</t>
  </si>
  <si>
    <t>Terminal red
B150J227M</t>
  </si>
  <si>
    <t>TE (NPD) Suwicha Narakorn Team</t>
  </si>
  <si>
    <t>ESR
Problem from L/F lot</t>
  </si>
  <si>
    <t>Remaining WIP for L/F problem</t>
  </si>
  <si>
    <t>1. Feedback to supplier about L/F dimension.
2. Work closely with QA to monitor L/F dimensional variation and its impact on ESR performance, and establish standardized control criteria.</t>
  </si>
  <si>
    <t>FPSA2
(A21N396)</t>
  </si>
  <si>
    <t>App : Terminal Scratch 
CO : SH (Open)</t>
  </si>
  <si>
    <t>Root cause investigation is ongoing.
(Terminal scratch --&gt; 4M checking)</t>
  </si>
  <si>
    <t>Ms. Sasitorn
Ms. Chotmanee
Ms. Parichat
Mr. Taksin</t>
  </si>
  <si>
    <t>1. Clarify the defective with marginal sample with QA team and check the solderability test for verify functionality.                                                                                                          2. Conduct an on-site inspection to verify the defect mechanism and identify potential contributing factors.</t>
  </si>
  <si>
    <t>ESR &amp; Blister
Blister: Conveyer machine make bubble of GB2,B2</t>
  </si>
  <si>
    <t>ESR was high deviation in some lot, PSGB2 was high sensivity.
(1) From analysis found polymer had black spot at internal polymer that means inner is not cover well
(2)Another is insulate of polymer was not get good insulatuin peak so LC high &amp; get ESR high also.
Blister : Conveyer had high temp &amp; low hu at machine no Z1, EE BOL already fix it &amp; GB2 case specify to not apply this machine (shape of anode were effect to blister).</t>
  </si>
  <si>
    <t>ESR and LC</t>
  </si>
  <si>
    <t>ESR level and variability increased after 250KCV implementation. However, the presence of both good and bad lots suggests that process variation remains, requiring further investigation to identify and eliminate the sources of inconsistency
LC --&gt; check LC tendency by M/C amd LC before/after welding</t>
  </si>
  <si>
    <t>First, conduct a detailed analysis to identify the process factors contributing to the ESR differences between the low ESR and high ESR groups, and determine the key parameters driving the variation</t>
  </si>
  <si>
    <t>-Finished experiment Mazerustar mixing machine, get good result
-Will trial on 13 Aug,26 on 2HD welding machine</t>
  </si>
  <si>
    <t>ESR</t>
  </si>
  <si>
    <t>ESR level and variability increased after 250KCV implementation. However, the presence of both good and bad lots suggests that process variation remains, requiring further investigation to identify and eliminate the sources of inconsistency</t>
  </si>
  <si>
    <t>PSLB2
(B20J107)
(B21A107)
(B21C336)
(B20E227M)</t>
  </si>
  <si>
    <t>A correlation was identified between high ESR lots and specific lead frame lots. Lead frame dimensions of 32 and 38 showed higher ESR values, although all measurements remain within specification. The remaining WIP consists of 12 lots, which will be monitored to further validate the correlation</t>
  </si>
  <si>
    <t>Work closely with QA to monitor L/F dimensional variation and its impact on ESR performance, and establish standardized control criteria to ensure consistent product quality and reduce ESR-related risks.</t>
  </si>
  <si>
    <t>Root cause investigation is ongoing.</t>
  </si>
  <si>
    <t>Conduct an on-site inspection to verify the defect mechanism and identify potential contributing factors.</t>
  </si>
  <si>
    <t>High ESR</t>
  </si>
  <si>
    <t>ESR was high deviation in some lot, PSGB2 was high sensivity.
And now input increase twice , this PN expand operate in external room2 polymer. PE cooperate with PROD to control good condition.</t>
  </si>
  <si>
    <t>Conduct QOD reduce SYOX step to reduce deviation, now pass initial step &amp; will apply 3 lots (now wait for QOD change re-anodization 30 lots finished&gt;conclude) &gt; will finish E/I on Aug 14'26</t>
  </si>
  <si>
    <t>ESR high level &amp; deviation from 250KCV</t>
  </si>
  <si>
    <t>Will apply 10 lots of change M-Aging volt from 2.5 to 5V that for improve LC but can improve ESR also.</t>
  </si>
  <si>
    <t>PSLB2
(B2E227(35)
(B20J227)
(B21A107)</t>
  </si>
  <si>
    <t>-Finished experiment Mazerustar mixing machine, get good result
-Will trial 3 lots on next week (10-14 Aug,26)</t>
  </si>
  <si>
    <t>C minus
Cap minys defective, 
Lot No. 6G19N10753 (C minus)
ESR
Problem from L/F lot</t>
  </si>
  <si>
    <t>A low CV value limits the achievable formation voltage, leading to a decrease in capacitance performance.
Found relation of high ESR lot with lead frame lot which Dimension 32, 38 show high value (Still within specification)                                            Remaining WIP 12 Lots.</t>
  </si>
  <si>
    <t>-Escalate high-defect lots data to the Anode Unit for root cause investigation
- Change to a new L/F lot and monitor the impact on defect reduction.     Fed back the information to lead frame supplier to find out the reason of turning point of lead frame dimension --&gt; Wait for Supllier reply</t>
  </si>
  <si>
    <t>8/13/2026
Done (Aug 7' 26)</t>
  </si>
  <si>
    <t>Conduct QOD reduce SYOX step to reduce deviation, now pass initial step &amp; will apply 3 lots (now wait for QOD change re-anodization 30 lots finished&gt;conclude)</t>
  </si>
  <si>
    <t>LC &amp; ESR</t>
  </si>
  <si>
    <t>High LC at welding mc, cooperate with EE maint about mc trouble and monitor by Prod to check LC before after welding.
ESR high level &amp; deviation from 250KCV</t>
  </si>
  <si>
    <t>-Follow result after feedback at welding process
-For podwer 200 KCV already finished E/I , will conclude with Anode team</t>
  </si>
  <si>
    <t>7-Aug-26
E/Aug'26</t>
  </si>
  <si>
    <t>PSLB3
(B30E227)
(B30J157)</t>
  </si>
  <si>
    <t>App :
Lack/Ex : In-pro Up/Dw</t>
  </si>
  <si>
    <t>Still have deviation &amp; main defective, from analysis is
-Small bubble and screen at welding machine
-Beding at polymer - Silver process
-Product drop from low adhesion strenght at pelle ass'y</t>
  </si>
  <si>
    <t>Ms. Supatsara
Ms. Sukruetai
Ms. Wichita</t>
  </si>
  <si>
    <t>Inprocess defective was estabish to improve of PSLB3
-Stabilize polymer &amp; GrP-AgP to reduce bubble&amp; big element (Hu/Temp monitor, Lift up speed adjust)
-will apply narrow spec (Up to high) weld strength at pellet ass'y</t>
  </si>
  <si>
    <t>FPSA08
(A1C226)</t>
  </si>
  <si>
    <t>ACC / SH2
Root cause has not yet been determined. Investigation is ongoing.</t>
  </si>
  <si>
    <t>Until now ACC is decreased but not clear the root cause.
- Compare ACC trends between FPSA08 and PSLB30J157 to identify the key changing point.
- Investigate the impact of moisture on ACC performance through comparative evaluation.</t>
  </si>
  <si>
    <t>We are investigating common process conditions to confirm whether both products exhibit the same trend. In parallel, an experiment is being conducted to evaluate the impact of leaving time, with conditions varied up to 24 hours.</t>
  </si>
  <si>
    <t>ESR 
High ESR defects are associated with L/F Lot N260702, but the root cause remains under investigation.</t>
  </si>
  <si>
    <t>From Analysis data
- Based on the 4M analysis, the high ESR issue is associated with Lead Frame (L/F) Lot N260702.
- Cross-sectional analysis found that products with high ESR showed glue cracking.
- Focus should be placed on reviewing, controlling, and standardizing the L/F process conditions to prevent recurrence.</t>
  </si>
  <si>
    <t>There is no remaining stock from L/F Lot N260702, as all material is currently in WIP. The team is conducting inspections on WIP products and comparing Lot N260702 with other L/F lots to identify any differences that may be related to the ESR issue.</t>
  </si>
  <si>
    <t xml:space="preserve">8/7/2026
</t>
  </si>
  <si>
    <t>ESR &amp; Blister
Blister: Polymer process-related. ESR: Cause unclear. Investigation ongoing.</t>
  </si>
  <si>
    <t>The current focus is on identifying the root cause before implementing corrective actions. 
For the ESR issue, investigate the correlation between ESR and blister defects and conduct a comprehensive 4M analysis. For the blister issue, evaluate the impact of moisture absorption after NR4 and TR waiting time, and assess whether the occurrence is related to specific operation groups.</t>
  </si>
  <si>
    <t>Ms. Supatsara
Ms. Paemika
Ms. Kanlaya
Ms. Sukruetai</t>
  </si>
  <si>
    <t xml:space="preserve"> - Monitor and evaluate the impact of moisture absorption after NR4 and during the TR waiting period (By Karl fisher/ TG/DTA)
 - Check process data (HU/Temp by dry hood, SG of NR,TR)
 - Coperate with PRODUCTION to check apperance after NR,TR</t>
  </si>
  <si>
    <t xml:space="preserve"> - Monitor and evaluate the impact of moisture absorption after NR4 and during the TR waiting period
(By Karl fisher/ TG/DTA)
 - Check process data (HU/Temp by dry hood, SG of NR,TR)
 - Coperate with PRODUCTION to check apperance after NR,TR</t>
  </si>
  <si>
    <t>PSLB2
(B21A107)</t>
  </si>
  <si>
    <t>Terminal red
The root cause remains under investigation.</t>
  </si>
  <si>
    <t>- Identifying Key Factors Contributing to the Terminal Red Issue</t>
  </si>
  <si>
    <t xml:space="preserve">Get good result of glue mixing by Mazerustar
Under finding mix condition	</t>
  </si>
  <si>
    <t>FPSA08</t>
  </si>
  <si>
    <t>ACC / SH2</t>
  </si>
  <si>
    <t>-Identifying Key Factors Contributing to the ACC and SH-2 Issue
- Prepare QOD-206 Extend ACC screening from 0.4 to 0.6A</t>
  </si>
  <si>
    <t>PE (FPS) Natdanai, Sasitorn Team</t>
  </si>
  <si>
    <t>- To analyze SH2 by pressing machine.</t>
  </si>
  <si>
    <t>7/25/2026
8/10/2026</t>
  </si>
  <si>
    <t>PSGB2</t>
  </si>
  <si>
    <t>ESR
PSGB20E337M</t>
  </si>
  <si>
    <t>Omit SYOX, Change re-anodization pattern to curve</t>
  </si>
  <si>
    <t>PE (STD) Nipaporn Supatsara Team</t>
  </si>
  <si>
    <t>Under finding the root cause and set re-anodization pattern QOD change 30 lots to line</t>
  </si>
  <si>
    <t>PSLB2</t>
  </si>
  <si>
    <t>Terminal red
B21A107M</t>
  </si>
  <si>
    <t xml:space="preserve">Get good result of glue mixing by Mazerustar
Under review &amp; trail with big q'ty to check effect of Ter Red		</t>
  </si>
  <si>
    <t>ESR &amp; LC
PSLB20E477</t>
  </si>
  <si>
    <t>-New design anode 200KCV powder
-Will apply reate voltage experiment M aging 2.5 to 5V</t>
  </si>
  <si>
    <t>PE Anode Mattika Inthira Team
PE (STD) Nipaporn Supatsara Team</t>
  </si>
  <si>
    <t xml:space="preserve">-Change review 200KCV powder lot situation at Weding 
-Under preparation </t>
  </si>
  <si>
    <t>Terminal red
B20J227M
B20J107M</t>
  </si>
  <si>
    <t>PSLB3</t>
  </si>
  <si>
    <t>ACC
PSLB30J157</t>
  </si>
  <si>
    <t>-Change SH2 spec from 0.5 to 0.3 mA to screen fryer pices</t>
  </si>
  <si>
    <t>-Follow result ACC pass ratio was improve</t>
  </si>
  <si>
    <t>Terminal red
B20J227M
B21A107M</t>
  </si>
  <si>
    <t>To compare conductive glue mixing by Mazerustar/ rentaro. Assumption : Incompleted mixing.</t>
  </si>
  <si>
    <t>ESR 
PSLB20E477</t>
  </si>
  <si>
    <t xml:space="preserve">Experiment mixing by Mazerustar mixer (Plan Jul 24)		</t>
  </si>
  <si>
    <t>Under finding the root cause</t>
  </si>
  <si>
    <t xml:space="preserve">-New design anode 200KCV powder
</t>
  </si>
  <si>
    <t>-Checking the anode properties of suspect pressing M/C
- Prepare QOD-206 Extend ACC screening from 0.4 to 0.6A</t>
  </si>
  <si>
    <t xml:space="preserve">Found high SH2 by pressing machine now under analysis </t>
  </si>
  <si>
    <t>-</t>
  </si>
  <si>
    <t>Under investigate glue wt</t>
  </si>
  <si>
    <t>Experiment mixing by Mazerustar mixer (Plan Jul 24)</t>
  </si>
  <si>
    <t>FPSA3</t>
  </si>
  <si>
    <t>Flash (+)</t>
  </si>
  <si>
    <t>Feed back to L/F supplier to analysis</t>
  </si>
  <si>
    <t>PE (FPS) Natdanai, Jirapat Team</t>
  </si>
  <si>
    <t>Found abnormal L/F lot N260625
Now, under discuss with QA feedback to maker</t>
  </si>
  <si>
    <t>ESR PSLB20E477</t>
  </si>
  <si>
    <t>New design anode 200KCV powder</t>
  </si>
  <si>
    <t xml:space="preserve">PE (STD) Nipaporn Supatsara Team
PE Anode Team Mattika Inthira </t>
  </si>
  <si>
    <t xml:space="preserve">Change review 200KCV powder lot situation at Weding </t>
  </si>
  <si>
    <t>Checking the anode properties of suspect 
pressing M/C</t>
  </si>
  <si>
    <t>ACC 
PSLB30J157M</t>
  </si>
  <si>
    <t>ESR, PFAS Free B20J227M25PF,KTA</t>
  </si>
  <si>
    <t xml:space="preserve">MK-3H Application </t>
  </si>
  <si>
    <t>FPSA2</t>
  </si>
  <si>
    <t>Appearance: L/Fscratch (1 Lot)</t>
  </si>
  <si>
    <t>Under checking problem lot. Now return to good condition</t>
  </si>
  <si>
    <t>FPSB3</t>
  </si>
  <si>
    <t>Polymer Bubble, Mold swell FPSB30E337</t>
  </si>
  <si>
    <t>Modify Anode&amp;Polymer condition</t>
  </si>
  <si>
    <t>TE (NPD) Suwicha Piyathida Team</t>
  </si>
  <si>
    <t>Welding process</t>
  </si>
  <si>
    <t>Terminal red  (A0J107)  ,ESR A0E227</t>
  </si>
  <si>
    <t>Under find glue mixing condition</t>
  </si>
  <si>
    <t>LC
PSLB30E227M</t>
  </si>
  <si>
    <t>Apply 1HD</t>
  </si>
  <si>
    <t>2HD make high LC</t>
  </si>
  <si>
    <t>ESR
Polymer bubble</t>
  </si>
  <si>
    <t>Under analysis L/F Lot.</t>
  </si>
  <si>
    <t>Under checking problem lot.</t>
  </si>
  <si>
    <t xml:space="preserve">ACC 
PSLB30J157M
</t>
  </si>
  <si>
    <r>
      <rPr>
        <sz val="9"/>
        <color rgb="FF000000"/>
        <rFont val="Arial"/>
        <family val="2"/>
      </rPr>
      <t xml:space="preserve">-
</t>
    </r>
    <r>
      <rPr>
        <sz val="9"/>
        <color rgb="FF000000"/>
        <rFont val="Arial"/>
        <family val="2"/>
      </rPr>
      <t xml:space="preserve">
</t>
    </r>
  </si>
  <si>
    <t>ESR, PFAS Free B20J227M25PF8R</t>
  </si>
  <si>
    <t>ESR
Polymer Bubble</t>
  </si>
  <si>
    <t>CY2025</t>
  </si>
  <si>
    <t>CY2026</t>
  </si>
  <si>
    <t>Jan'25</t>
  </si>
  <si>
    <t>Feb</t>
  </si>
  <si>
    <t>Mar</t>
  </si>
  <si>
    <t>Apr</t>
  </si>
  <si>
    <t>May</t>
  </si>
  <si>
    <t>Jun</t>
  </si>
  <si>
    <t>Jul</t>
  </si>
  <si>
    <t>Aug</t>
  </si>
  <si>
    <t>Sep</t>
  </si>
  <si>
    <t>Oct</t>
  </si>
  <si>
    <t>Nov</t>
  </si>
  <si>
    <t>Dec</t>
  </si>
  <si>
    <t>Jan'26</t>
  </si>
  <si>
    <t xml:space="preserve"> -</t>
  </si>
  <si>
    <t>(End Prod)</t>
  </si>
  <si>
    <t>Grand Total</t>
  </si>
  <si>
    <t>Target</t>
  </si>
  <si>
    <t>Action</t>
  </si>
  <si>
    <t>SD Def from tighten SD spec for expired element</t>
  </si>
  <si>
    <t>Review SD spec</t>
  </si>
  <si>
    <t>PE</t>
  </si>
  <si>
    <t>On going</t>
  </si>
  <si>
    <t>SD def suspect over reject from operating at CC line.</t>
  </si>
  <si>
    <t>Keep maintain probe and panel.</t>
  </si>
  <si>
    <t>EE Mtnc.</t>
  </si>
  <si>
    <t>SD defective -&gt; Re-screen liq-leak many round.</t>
  </si>
  <si>
    <t>Keep check &amp; control process</t>
  </si>
  <si>
    <t>Laser Marking fade from change product size at plate inserting FC2 (8.4 mm to 8.1 mm).</t>
  </si>
  <si>
    <t>Issue adjusting instruction for product model change</t>
  </si>
  <si>
    <t>Not started</t>
  </si>
  <si>
    <t>CAN</t>
  </si>
  <si>
    <t>C def from over reject(defective was re-screened but unable to fix MES data)</t>
  </si>
  <si>
    <t>Confirm C meas. Cond.</t>
  </si>
  <si>
    <t>1) C def from low paste weight / Hi-C def from probe error.
2) LC def from over reject.</t>
  </si>
  <si>
    <t>1) Check &amp; Change probe
2) Improve paste printing op.</t>
  </si>
  <si>
    <t>Plate crack &amp; terminal bending NG from plate inserting MC</t>
  </si>
  <si>
    <t>Adjust M/C for suitable cond.</t>
  </si>
  <si>
    <t>1)Outer case scratch from M/C</t>
  </si>
  <si>
    <t>Add sensor at inloader</t>
  </si>
  <si>
    <t>EE Eng.</t>
  </si>
  <si>
    <t>2)LC-SD defective from M/C</t>
  </si>
  <si>
    <t>Improve panel damage</t>
  </si>
  <si>
    <t>C def from NG Probe</t>
  </si>
  <si>
    <t>Check probe &amp; re-screen def(Unable to fix def in MES)</t>
  </si>
  <si>
    <t>PE/EE</t>
  </si>
  <si>
    <t>Done</t>
  </si>
  <si>
    <t xml:space="preserve"> </t>
  </si>
  <si>
    <t>1)LC-SD defective from M/C (Big size product -&gt;Less lot size-higher impact)</t>
  </si>
  <si>
    <t>2)Outer case scratch from M/C</t>
  </si>
  <si>
    <t>LC-SD defective -&gt;Big size operate in CAN line</t>
  </si>
  <si>
    <t>LC-SD defective -&gt; Re-screen liq-leak many round for expired element which is MFG in problem period previous year.</t>
  </si>
  <si>
    <t>C defective 17MUF -&gt; Low paste printing (Element stock before action)</t>
  </si>
  <si>
    <t>Add check item &amp; trouble shooting for printing &amp; combine operation.</t>
  </si>
  <si>
    <t>C def 8LCRF -&gt; New Product design problem</t>
  </si>
  <si>
    <t>Under improvement with Tech.</t>
  </si>
  <si>
    <t>1) Wrong input defective q'ty in MES.</t>
  </si>
  <si>
    <t>Feedback to Prod.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</si>
</sst>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_);_(* \(#,##0\);_(* &quot;-&quot;??_);_(@_)"/>
    <numFmt numFmtId="165" formatCode="0.0%"/>
    <numFmt numFmtId="166" formatCode="_(* #,##0.0_);_(* \(#,##0.0\);_(* &quot;-&quot;??_);_(@_)"/>
    <numFmt numFmtId="167" formatCode="[$-409]d\-mmm;@"/>
  </numFmts>
  <fonts count="17" x14ac:knownFonts="1">
    <font>
      <sz val="11"/>
      <color theme="1"/>
      <name val="Aptos Narrow"/>
      <family val="2"/>
      <scheme val="minor"/>
    </font>
    <font>
      <sz val="11"/>
      <color theme="1"/>
      <name val="Aptos Narrow"/>
      <family val="2"/>
      <scheme val="minor"/>
    </font>
    <font>
      <sz val="9"/>
      <color theme="1"/>
      <name val="Arial"/>
      <family val="2"/>
    </font>
    <font>
      <u/>
      <sz val="9"/>
      <color theme="1"/>
      <name val="Arial"/>
      <family val="2"/>
    </font>
    <font>
      <b/>
      <sz val="9"/>
      <name val="Arial"/>
      <family val="2"/>
    </font>
    <font>
      <sz val="9"/>
      <name val="Arial"/>
      <family val="2"/>
    </font>
    <font>
      <sz val="9"/>
      <color theme="0"/>
      <name val="Arial"/>
      <family val="2"/>
    </font>
    <font>
      <b/>
      <sz val="9"/>
      <color rgb="FF0000FF"/>
      <name val="Arial"/>
      <family val="2"/>
    </font>
    <font>
      <sz val="8"/>
      <name val="Aptos Narrow"/>
      <family val="2"/>
      <scheme val="minor"/>
    </font>
    <font>
      <b/>
      <sz val="9"/>
      <color theme="1"/>
      <name val="Arial"/>
      <family val="2"/>
    </font>
    <font>
      <sz val="9"/>
      <color indexed="81"/>
      <name val="Tahoma"/>
      <family val="2"/>
    </font>
    <font>
      <b/>
      <sz val="9"/>
      <color indexed="81"/>
      <name val="Tahoma"/>
      <family val="2"/>
    </font>
    <font>
      <sz val="9"/>
      <color rgb="FF000000"/>
      <name val="Arial"/>
      <family val="2"/>
    </font>
    <font>
      <sz val="10"/>
      <name val="Arial"/>
      <family val="2"/>
    </font>
    <font>
      <sz val="9"/>
      <color theme="1"/>
      <name val="Arial"/>
    </font>
    <font>
      <sz val="9"/>
      <color rgb="FF000000"/>
      <name val="Arial"/>
    </font>
    <font>
      <b/>
      <sz val="9"/>
      <color rgb="FF000000"/>
      <name val="Arial"/>
    </font>
  </fonts>
  <fills count="12">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5" tint="0.59999389629810485"/>
        <bgColor indexed="64"/>
      </patternFill>
    </fill>
  </fills>
  <borders count="6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bottom/>
      <diagonal/>
    </border>
    <border>
      <left/>
      <right/>
      <top style="medium">
        <color indexed="64"/>
      </top>
      <bottom style="medium">
        <color indexed="64"/>
      </bottom>
      <diagonal/>
    </border>
    <border>
      <left/>
      <right style="thin">
        <color indexed="64"/>
      </right>
      <top style="dotted">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style="thin">
        <color indexed="64"/>
      </left>
      <right/>
      <top style="dotted">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diagonal/>
    </border>
    <border>
      <left style="medium">
        <color indexed="64"/>
      </left>
      <right style="thin">
        <color indexed="64"/>
      </right>
      <top/>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rgb="FF000000"/>
      </right>
      <top/>
      <bottom style="thin">
        <color rgb="FF000000"/>
      </bottom>
      <diagonal/>
    </border>
  </borders>
  <cellStyleXfs count="4">
    <xf numFmtId="0" fontId="0" fillId="0" borderId="0"/>
    <xf numFmtId="43" fontId="1" fillId="0" borderId="0" applyFont="0" applyFill="0" applyBorder="0" applyAlignment="0" applyProtection="0"/>
    <xf numFmtId="0" fontId="1" fillId="0" borderId="0"/>
    <xf numFmtId="0" fontId="13" fillId="0" borderId="0"/>
  </cellStyleXfs>
  <cellXfs count="335">
    <xf numFmtId="0" fontId="0" fillId="0" borderId="0" xfId="0"/>
    <xf numFmtId="0" fontId="2" fillId="0" borderId="0" xfId="0" applyFont="1"/>
    <xf numFmtId="164" fontId="2" fillId="0" borderId="0" xfId="1" applyNumberFormat="1" applyFont="1"/>
    <xf numFmtId="0" fontId="2" fillId="2" borderId="0" xfId="0" applyFont="1" applyFill="1"/>
    <xf numFmtId="0" fontId="2" fillId="0" borderId="3" xfId="0" applyFont="1" applyBorder="1"/>
    <xf numFmtId="0" fontId="2" fillId="0" borderId="4" xfId="0" applyFont="1" applyBorder="1"/>
    <xf numFmtId="0" fontId="2" fillId="0" borderId="1" xfId="0" applyFont="1" applyBorder="1"/>
    <xf numFmtId="14" fontId="3" fillId="2" borderId="0" xfId="0" applyNumberFormat="1" applyFont="1" applyFill="1"/>
    <xf numFmtId="0" fontId="3" fillId="2" borderId="0" xfId="0" applyFont="1" applyFill="1"/>
    <xf numFmtId="0" fontId="2" fillId="0" borderId="2" xfId="0" applyFont="1" applyBorder="1"/>
    <xf numFmtId="164" fontId="2" fillId="0" borderId="2" xfId="1" applyNumberFormat="1" applyFont="1" applyBorder="1"/>
    <xf numFmtId="164" fontId="2" fillId="0" borderId="2" xfId="0" applyNumberFormat="1" applyFont="1" applyBorder="1"/>
    <xf numFmtId="165" fontId="2" fillId="0" borderId="2" xfId="0" applyNumberFormat="1" applyFont="1" applyBorder="1"/>
    <xf numFmtId="9" fontId="2" fillId="0" borderId="0" xfId="0" applyNumberFormat="1" applyFont="1"/>
    <xf numFmtId="0" fontId="4" fillId="0" borderId="5" xfId="0" applyFont="1" applyBorder="1" applyAlignment="1">
      <alignment horizontal="center" vertical="center"/>
    </xf>
    <xf numFmtId="0" fontId="4" fillId="0" borderId="6" xfId="0" applyFont="1" applyBorder="1" applyAlignment="1">
      <alignment horizontal="center" vertical="center"/>
    </xf>
    <xf numFmtId="16" fontId="2" fillId="0" borderId="8" xfId="0" applyNumberFormat="1" applyFont="1" applyBorder="1" applyAlignment="1">
      <alignment horizontal="centerContinuous"/>
    </xf>
    <xf numFmtId="0" fontId="2" fillId="0" borderId="9" xfId="0" applyFont="1" applyBorder="1" applyAlignment="1">
      <alignment horizontal="centerContinuous"/>
    </xf>
    <xf numFmtId="0" fontId="2" fillId="0" borderId="10" xfId="0" applyFont="1" applyBorder="1" applyAlignment="1">
      <alignment horizontal="centerContinuous"/>
    </xf>
    <xf numFmtId="0" fontId="2" fillId="3" borderId="6" xfId="0" applyFont="1" applyFill="1" applyBorder="1"/>
    <xf numFmtId="164" fontId="2" fillId="0" borderId="3" xfId="1" applyNumberFormat="1" applyFont="1" applyBorder="1"/>
    <xf numFmtId="164" fontId="2" fillId="3" borderId="6" xfId="1" applyNumberFormat="1" applyFont="1" applyFill="1" applyBorder="1"/>
    <xf numFmtId="164" fontId="2" fillId="0" borderId="1" xfId="1" applyNumberFormat="1" applyFont="1" applyBorder="1"/>
    <xf numFmtId="41" fontId="2" fillId="0" borderId="2" xfId="0" applyNumberFormat="1" applyFont="1" applyBorder="1"/>
    <xf numFmtId="0" fontId="2" fillId="0" borderId="6" xfId="0" applyFont="1" applyBorder="1" applyAlignment="1">
      <alignment horizontal="center"/>
    </xf>
    <xf numFmtId="2" fontId="2" fillId="0" borderId="2" xfId="0" applyNumberFormat="1" applyFont="1" applyBorder="1"/>
    <xf numFmtId="2" fontId="2" fillId="3" borderId="6" xfId="0" applyNumberFormat="1" applyFont="1" applyFill="1" applyBorder="1"/>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4" fillId="0" borderId="17" xfId="0" applyFont="1" applyBorder="1" applyAlignment="1">
      <alignment horizontal="right" vertical="center"/>
    </xf>
    <xf numFmtId="0" fontId="4" fillId="0" borderId="18" xfId="0" applyFont="1" applyBorder="1" applyAlignment="1">
      <alignment horizontal="right" vertical="center"/>
    </xf>
    <xf numFmtId="0" fontId="4" fillId="4" borderId="15" xfId="0" applyFont="1" applyFill="1" applyBorder="1" applyAlignment="1">
      <alignment horizontal="center" vertical="center"/>
    </xf>
    <xf numFmtId="0" fontId="2" fillId="0" borderId="19" xfId="0" applyFont="1" applyBorder="1"/>
    <xf numFmtId="0" fontId="2" fillId="0" borderId="20" xfId="0" applyFont="1" applyBorder="1"/>
    <xf numFmtId="0" fontId="2" fillId="0" borderId="11" xfId="0" applyFont="1" applyBorder="1"/>
    <xf numFmtId="0" fontId="2" fillId="0" borderId="21" xfId="0" applyFont="1" applyBorder="1"/>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164" fontId="2" fillId="0" borderId="25" xfId="1" applyNumberFormat="1" applyFont="1" applyBorder="1"/>
    <xf numFmtId="43" fontId="2" fillId="0" borderId="25" xfId="1" applyFont="1" applyBorder="1"/>
    <xf numFmtId="43" fontId="2" fillId="0" borderId="2" xfId="1" applyFont="1" applyBorder="1"/>
    <xf numFmtId="0" fontId="5" fillId="0" borderId="27" xfId="0" applyFont="1" applyBorder="1" applyAlignment="1">
      <alignment horizontal="center" vertical="center"/>
    </xf>
    <xf numFmtId="0" fontId="5" fillId="0" borderId="25" xfId="0" applyFont="1" applyBorder="1" applyAlignment="1">
      <alignment horizontal="center" vertical="center"/>
    </xf>
    <xf numFmtId="2" fontId="2" fillId="0" borderId="25" xfId="0" applyNumberFormat="1" applyFont="1" applyBorder="1"/>
    <xf numFmtId="41" fontId="2" fillId="0" borderId="25" xfId="0" applyNumberFormat="1" applyFont="1" applyBorder="1"/>
    <xf numFmtId="0" fontId="5" fillId="0" borderId="28" xfId="0" applyFont="1" applyBorder="1" applyAlignment="1">
      <alignment horizontal="center" vertical="center"/>
    </xf>
    <xf numFmtId="0" fontId="5" fillId="0" borderId="2" xfId="0" applyFont="1" applyBorder="1" applyAlignment="1">
      <alignment horizontal="center" vertical="center"/>
    </xf>
    <xf numFmtId="0" fontId="2" fillId="0" borderId="29" xfId="0" applyFont="1" applyBorder="1"/>
    <xf numFmtId="0" fontId="2" fillId="0" borderId="30" xfId="0" applyFont="1" applyBorder="1"/>
    <xf numFmtId="0" fontId="2" fillId="4" borderId="2" xfId="0" applyFont="1" applyFill="1" applyBorder="1"/>
    <xf numFmtId="164" fontId="2" fillId="3" borderId="2" xfId="1" applyNumberFormat="1" applyFont="1" applyFill="1" applyBorder="1"/>
    <xf numFmtId="164" fontId="2" fillId="3" borderId="2" xfId="0" applyNumberFormat="1" applyFont="1" applyFill="1" applyBorder="1"/>
    <xf numFmtId="165" fontId="2" fillId="3" borderId="2" xfId="0" applyNumberFormat="1" applyFont="1" applyFill="1" applyBorder="1"/>
    <xf numFmtId="0" fontId="2" fillId="0" borderId="8" xfId="0" applyFont="1" applyBorder="1"/>
    <xf numFmtId="0" fontId="2" fillId="0" borderId="31" xfId="0" applyFont="1" applyBorder="1"/>
    <xf numFmtId="164" fontId="2" fillId="0" borderId="21" xfId="1" applyNumberFormat="1" applyFont="1" applyBorder="1"/>
    <xf numFmtId="164" fontId="2" fillId="0" borderId="21" xfId="0" applyNumberFormat="1" applyFont="1" applyBorder="1"/>
    <xf numFmtId="0" fontId="2" fillId="3" borderId="3" xfId="0" applyFont="1" applyFill="1" applyBorder="1"/>
    <xf numFmtId="0" fontId="2" fillId="0" borderId="32" xfId="0" applyFont="1" applyBorder="1"/>
    <xf numFmtId="16" fontId="6" fillId="5" borderId="8" xfId="0" applyNumberFormat="1" applyFont="1" applyFill="1" applyBorder="1" applyAlignment="1">
      <alignment horizontal="centerContinuous"/>
    </xf>
    <xf numFmtId="0" fontId="6" fillId="5" borderId="9" xfId="0" applyFont="1" applyFill="1" applyBorder="1" applyAlignment="1">
      <alignment horizontal="centerContinuous"/>
    </xf>
    <xf numFmtId="0" fontId="6" fillId="5" borderId="10" xfId="0" applyFont="1" applyFill="1" applyBorder="1" applyAlignment="1">
      <alignment horizontal="centerContinuous"/>
    </xf>
    <xf numFmtId="0" fontId="2" fillId="6" borderId="3" xfId="0" applyFont="1" applyFill="1" applyBorder="1" applyAlignment="1">
      <alignment horizontal="centerContinuous"/>
    </xf>
    <xf numFmtId="0" fontId="2" fillId="6" borderId="6" xfId="0" applyFont="1" applyFill="1" applyBorder="1" applyAlignment="1">
      <alignment horizontal="center"/>
    </xf>
    <xf numFmtId="166" fontId="2" fillId="0" borderId="2" xfId="0" applyNumberFormat="1" applyFont="1" applyBorder="1"/>
    <xf numFmtId="43" fontId="2" fillId="0" borderId="0" xfId="0" applyNumberFormat="1" applyFont="1"/>
    <xf numFmtId="164" fontId="2" fillId="0" borderId="4" xfId="1" applyNumberFormat="1" applyFont="1" applyBorder="1"/>
    <xf numFmtId="0" fontId="2" fillId="3" borderId="2" xfId="0" applyFont="1" applyFill="1" applyBorder="1"/>
    <xf numFmtId="0" fontId="2" fillId="7" borderId="2" xfId="0" applyFont="1" applyFill="1" applyBorder="1"/>
    <xf numFmtId="0" fontId="2" fillId="7" borderId="2" xfId="0" applyFont="1" applyFill="1" applyBorder="1" applyAlignment="1">
      <alignment horizontal="center"/>
    </xf>
    <xf numFmtId="40" fontId="2" fillId="0" borderId="0" xfId="1" applyNumberFormat="1" applyFont="1"/>
    <xf numFmtId="40" fontId="2" fillId="3" borderId="0" xfId="1" applyNumberFormat="1" applyFont="1" applyFill="1"/>
    <xf numFmtId="0" fontId="7" fillId="2" borderId="0" xfId="0" applyFont="1" applyFill="1"/>
    <xf numFmtId="0" fontId="2" fillId="3" borderId="21" xfId="0" applyFont="1" applyFill="1" applyBorder="1"/>
    <xf numFmtId="0" fontId="2" fillId="4" borderId="3" xfId="0" applyFont="1" applyFill="1" applyBorder="1"/>
    <xf numFmtId="0" fontId="2" fillId="0" borderId="10" xfId="0" applyFont="1" applyBorder="1"/>
    <xf numFmtId="0" fontId="2" fillId="0" borderId="12" xfId="0" applyFont="1" applyBorder="1"/>
    <xf numFmtId="43" fontId="2" fillId="0" borderId="3" xfId="1" applyFont="1" applyBorder="1"/>
    <xf numFmtId="43" fontId="2" fillId="3" borderId="6" xfId="1" applyFont="1" applyFill="1" applyBorder="1"/>
    <xf numFmtId="0" fontId="2" fillId="0" borderId="33" xfId="0" applyFont="1" applyBorder="1"/>
    <xf numFmtId="0" fontId="2" fillId="3" borderId="34" xfId="0" applyFont="1" applyFill="1" applyBorder="1"/>
    <xf numFmtId="0" fontId="2" fillId="3" borderId="7" xfId="0" applyFont="1" applyFill="1" applyBorder="1"/>
    <xf numFmtId="164" fontId="2" fillId="3" borderId="6" xfId="0" applyNumberFormat="1" applyFont="1" applyFill="1" applyBorder="1"/>
    <xf numFmtId="43" fontId="2" fillId="3" borderId="6" xfId="0" applyNumberFormat="1" applyFont="1" applyFill="1" applyBorder="1"/>
    <xf numFmtId="0" fontId="5" fillId="0" borderId="32" xfId="0" applyFont="1" applyBorder="1" applyAlignment="1">
      <alignment horizontal="center" vertical="center"/>
    </xf>
    <xf numFmtId="0" fontId="5" fillId="0" borderId="31" xfId="0" applyFont="1" applyBorder="1" applyAlignment="1">
      <alignment horizontal="center" vertical="center"/>
    </xf>
    <xf numFmtId="0" fontId="4" fillId="3" borderId="13" xfId="0" applyFont="1" applyFill="1" applyBorder="1" applyAlignment="1">
      <alignment horizontal="left" vertical="center"/>
    </xf>
    <xf numFmtId="0" fontId="5" fillId="0" borderId="35" xfId="0" applyFont="1" applyBorder="1" applyAlignment="1">
      <alignment horizontal="center" vertical="center"/>
    </xf>
    <xf numFmtId="10" fontId="2" fillId="0" borderId="2" xfId="0" applyNumberFormat="1" applyFont="1" applyBorder="1"/>
    <xf numFmtId="10" fontId="2" fillId="0" borderId="2" xfId="0" applyNumberFormat="1" applyFont="1" applyBorder="1" applyAlignment="1">
      <alignment horizontal="center"/>
    </xf>
    <xf numFmtId="10" fontId="2" fillId="0" borderId="3" xfId="0" applyNumberFormat="1" applyFont="1" applyBorder="1" applyAlignment="1">
      <alignment horizontal="center"/>
    </xf>
    <xf numFmtId="0" fontId="5" fillId="0" borderId="36" xfId="0" applyFont="1" applyBorder="1" applyAlignment="1">
      <alignment horizontal="center" vertical="center"/>
    </xf>
    <xf numFmtId="0" fontId="5" fillId="0" borderId="29" xfId="0" applyFont="1" applyBorder="1" applyAlignment="1">
      <alignment horizontal="center" vertical="center"/>
    </xf>
    <xf numFmtId="10" fontId="2" fillId="0" borderId="1" xfId="0" applyNumberFormat="1" applyFont="1" applyBorder="1" applyAlignment="1">
      <alignment horizontal="center"/>
    </xf>
    <xf numFmtId="0" fontId="4" fillId="3" borderId="34" xfId="0" applyFont="1" applyFill="1" applyBorder="1" applyAlignment="1">
      <alignment horizontal="right" vertical="center"/>
    </xf>
    <xf numFmtId="10" fontId="2" fillId="3" borderId="6" xfId="0" applyNumberFormat="1" applyFont="1" applyFill="1" applyBorder="1" applyAlignment="1">
      <alignment horizontal="center"/>
    </xf>
    <xf numFmtId="0" fontId="2" fillId="0" borderId="37" xfId="0" applyFont="1" applyBorder="1"/>
    <xf numFmtId="0" fontId="4" fillId="3" borderId="13" xfId="0" applyFont="1" applyFill="1" applyBorder="1" applyAlignment="1">
      <alignment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9" fillId="0" borderId="8" xfId="0" applyFont="1" applyBorder="1" applyAlignment="1">
      <alignment horizontal="centerContinuous"/>
    </xf>
    <xf numFmtId="0" fontId="9" fillId="0" borderId="9" xfId="0" applyFont="1" applyBorder="1" applyAlignment="1">
      <alignment horizontal="centerContinuous"/>
    </xf>
    <xf numFmtId="0" fontId="9" fillId="0" borderId="10" xfId="0" applyFont="1" applyBorder="1" applyAlignment="1">
      <alignment horizontal="centerContinuous"/>
    </xf>
    <xf numFmtId="0" fontId="9" fillId="2" borderId="6" xfId="0" applyFont="1" applyFill="1" applyBorder="1" applyAlignment="1">
      <alignment horizontal="center"/>
    </xf>
    <xf numFmtId="10" fontId="2" fillId="3" borderId="22" xfId="0" applyNumberFormat="1" applyFont="1" applyFill="1" applyBorder="1" applyAlignment="1">
      <alignment horizontal="center"/>
    </xf>
    <xf numFmtId="10" fontId="2" fillId="0" borderId="3" xfId="0" applyNumberFormat="1" applyFont="1" applyBorder="1"/>
    <xf numFmtId="10" fontId="2" fillId="3" borderId="6" xfId="0" applyNumberFormat="1" applyFont="1" applyFill="1" applyBorder="1"/>
    <xf numFmtId="10" fontId="2" fillId="0" borderId="1" xfId="0" applyNumberFormat="1" applyFont="1" applyBorder="1"/>
    <xf numFmtId="10" fontId="2" fillId="3" borderId="22" xfId="0" applyNumberFormat="1" applyFont="1" applyFill="1" applyBorder="1"/>
    <xf numFmtId="14" fontId="3" fillId="2" borderId="0" xfId="2" applyNumberFormat="1" applyFont="1" applyFill="1"/>
    <xf numFmtId="43" fontId="2" fillId="8" borderId="2" xfId="1" applyFont="1" applyFill="1" applyBorder="1"/>
    <xf numFmtId="43" fontId="2" fillId="8" borderId="3" xfId="1" applyFont="1" applyFill="1" applyBorder="1"/>
    <xf numFmtId="43" fontId="2" fillId="9" borderId="25" xfId="1" applyFont="1" applyFill="1" applyBorder="1"/>
    <xf numFmtId="0" fontId="2" fillId="0" borderId="38" xfId="0" applyFont="1" applyBorder="1" applyAlignment="1">
      <alignment vertical="center" wrapText="1"/>
    </xf>
    <xf numFmtId="0" fontId="2" fillId="0" borderId="38" xfId="0" applyFont="1" applyBorder="1" applyAlignment="1">
      <alignment horizontal="center" vertical="center" wrapText="1"/>
    </xf>
    <xf numFmtId="0" fontId="2" fillId="10" borderId="38" xfId="0" applyFont="1" applyFill="1" applyBorder="1" applyAlignment="1">
      <alignment horizontal="center"/>
    </xf>
    <xf numFmtId="0" fontId="12" fillId="0" borderId="0" xfId="0" applyFont="1"/>
    <xf numFmtId="0" fontId="2" fillId="0" borderId="40" xfId="0" applyFont="1" applyBorder="1" applyAlignment="1">
      <alignment vertical="center" wrapText="1"/>
    </xf>
    <xf numFmtId="0" fontId="4" fillId="3" borderId="0" xfId="0" applyFont="1" applyFill="1" applyAlignment="1">
      <alignment horizontal="right" vertical="center"/>
    </xf>
    <xf numFmtId="0" fontId="4" fillId="3" borderId="41" xfId="0" applyFont="1" applyFill="1" applyBorder="1" applyAlignment="1">
      <alignment horizontal="right" vertical="center"/>
    </xf>
    <xf numFmtId="164" fontId="2" fillId="3" borderId="43" xfId="1" applyNumberFormat="1" applyFont="1" applyFill="1" applyBorder="1"/>
    <xf numFmtId="164" fontId="2" fillId="0" borderId="44" xfId="1" applyNumberFormat="1" applyFont="1" applyBorder="1"/>
    <xf numFmtId="164" fontId="2" fillId="0" borderId="45" xfId="1" applyNumberFormat="1" applyFont="1" applyBorder="1"/>
    <xf numFmtId="0" fontId="5" fillId="0" borderId="42" xfId="0" applyFont="1" applyBorder="1" applyAlignment="1">
      <alignment horizontal="center" vertical="center"/>
    </xf>
    <xf numFmtId="0" fontId="5" fillId="0" borderId="43" xfId="0" applyFont="1" applyBorder="1" applyAlignment="1">
      <alignment horizontal="center" vertical="center"/>
    </xf>
    <xf numFmtId="164" fontId="2" fillId="0" borderId="46" xfId="1" applyNumberFormat="1" applyFont="1" applyBorder="1"/>
    <xf numFmtId="43" fontId="2" fillId="0" borderId="46" xfId="1" applyFont="1" applyBorder="1"/>
    <xf numFmtId="2" fontId="2" fillId="0" borderId="46" xfId="0" applyNumberFormat="1" applyFont="1" applyBorder="1"/>
    <xf numFmtId="164" fontId="2" fillId="0" borderId="47" xfId="1" applyNumberFormat="1" applyFont="1" applyBorder="1"/>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4" fillId="0" borderId="15" xfId="0" applyFont="1" applyBorder="1" applyAlignment="1">
      <alignment horizontal="center" vertical="center"/>
    </xf>
    <xf numFmtId="0" fontId="4" fillId="0" borderId="22" xfId="0" applyFont="1" applyBorder="1" applyAlignment="1">
      <alignment horizontal="center" vertical="center"/>
    </xf>
    <xf numFmtId="0" fontId="2" fillId="6" borderId="22" xfId="0" applyFont="1" applyFill="1" applyBorder="1" applyAlignment="1">
      <alignment horizontal="center"/>
    </xf>
    <xf numFmtId="0" fontId="2" fillId="0" borderId="22" xfId="0" applyFont="1" applyBorder="1" applyAlignment="1">
      <alignment horizontal="center"/>
    </xf>
    <xf numFmtId="0" fontId="4" fillId="0" borderId="20" xfId="0" applyFont="1" applyBorder="1" applyAlignment="1">
      <alignment horizontal="right" vertical="center"/>
    </xf>
    <xf numFmtId="0" fontId="4" fillId="3" borderId="48" xfId="0" applyFont="1" applyFill="1" applyBorder="1" applyAlignment="1">
      <alignment horizontal="left" vertical="center"/>
    </xf>
    <xf numFmtId="0" fontId="4" fillId="3" borderId="20" xfId="0" applyFont="1" applyFill="1" applyBorder="1" applyAlignment="1">
      <alignment horizontal="right" vertical="center"/>
    </xf>
    <xf numFmtId="0" fontId="4" fillId="3" borderId="49" xfId="0" applyFont="1" applyFill="1" applyBorder="1" applyAlignment="1">
      <alignment horizontal="left" vertical="center"/>
    </xf>
    <xf numFmtId="164" fontId="2" fillId="3" borderId="4" xfId="1" applyNumberFormat="1" applyFont="1" applyFill="1" applyBorder="1"/>
    <xf numFmtId="0" fontId="4" fillId="3" borderId="12" xfId="0" applyFont="1" applyFill="1" applyBorder="1" applyAlignment="1">
      <alignment horizontal="left" vertical="center"/>
    </xf>
    <xf numFmtId="0" fontId="5" fillId="0" borderId="51" xfId="0" applyFont="1" applyBorder="1" applyAlignment="1">
      <alignment horizontal="center" vertical="center"/>
    </xf>
    <xf numFmtId="0" fontId="5" fillId="0" borderId="52" xfId="0" applyFont="1" applyBorder="1" applyAlignment="1">
      <alignment horizontal="center" vertical="center"/>
    </xf>
    <xf numFmtId="41" fontId="2" fillId="0" borderId="46" xfId="0" applyNumberFormat="1" applyFont="1" applyBorder="1"/>
    <xf numFmtId="0" fontId="4" fillId="3" borderId="19" xfId="0" applyFont="1" applyFill="1" applyBorder="1" applyAlignment="1">
      <alignment horizontal="right" vertical="center"/>
    </xf>
    <xf numFmtId="0" fontId="4" fillId="3" borderId="53" xfId="0" applyFont="1" applyFill="1" applyBorder="1" applyAlignment="1">
      <alignment vertical="center"/>
    </xf>
    <xf numFmtId="164" fontId="2" fillId="3" borderId="22" xfId="1" applyNumberFormat="1" applyFont="1" applyFill="1" applyBorder="1"/>
    <xf numFmtId="43" fontId="2" fillId="9" borderId="2" xfId="1" applyFont="1" applyFill="1" applyBorder="1"/>
    <xf numFmtId="0" fontId="2" fillId="0" borderId="0" xfId="0" applyFont="1" applyAlignment="1">
      <alignment wrapText="1"/>
    </xf>
    <xf numFmtId="0" fontId="2" fillId="0" borderId="39" xfId="0" applyFont="1" applyBorder="1" applyAlignment="1">
      <alignment vertical="center" wrapText="1"/>
    </xf>
    <xf numFmtId="0" fontId="2" fillId="0" borderId="39" xfId="0" applyFont="1" applyBorder="1" applyAlignment="1">
      <alignment horizontal="center" vertical="center" wrapText="1"/>
    </xf>
    <xf numFmtId="164" fontId="2" fillId="0" borderId="25" xfId="1" applyNumberFormat="1" applyFont="1" applyFill="1" applyBorder="1"/>
    <xf numFmtId="164" fontId="2" fillId="0" borderId="2" xfId="1" applyNumberFormat="1" applyFont="1" applyFill="1" applyBorder="1"/>
    <xf numFmtId="43" fontId="2" fillId="0" borderId="3" xfId="1" applyFont="1" applyFill="1" applyBorder="1"/>
    <xf numFmtId="164" fontId="2" fillId="0" borderId="3" xfId="1" applyNumberFormat="1" applyFont="1" applyFill="1" applyBorder="1"/>
    <xf numFmtId="164" fontId="2" fillId="0" borderId="2" xfId="1" applyNumberFormat="1" applyFont="1" applyFill="1" applyBorder="1" applyAlignment="1">
      <alignment horizontal="right"/>
    </xf>
    <xf numFmtId="43" fontId="2" fillId="8" borderId="25" xfId="1" applyFont="1" applyFill="1" applyBorder="1"/>
    <xf numFmtId="43" fontId="2" fillId="0" borderId="2" xfId="1" quotePrefix="1" applyFont="1" applyBorder="1"/>
    <xf numFmtId="164" fontId="2" fillId="0" borderId="2" xfId="1" quotePrefix="1" applyNumberFormat="1" applyFont="1" applyBorder="1"/>
    <xf numFmtId="2" fontId="2" fillId="0" borderId="2" xfId="0" quotePrefix="1" applyNumberFormat="1" applyFont="1" applyBorder="1"/>
    <xf numFmtId="43" fontId="2" fillId="0" borderId="1" xfId="1" applyFont="1" applyBorder="1"/>
    <xf numFmtId="43" fontId="2" fillId="0" borderId="4" xfId="1" applyFont="1" applyBorder="1"/>
    <xf numFmtId="43" fontId="2" fillId="0" borderId="43" xfId="1" applyFont="1" applyBorder="1"/>
    <xf numFmtId="0" fontId="5" fillId="0" borderId="25" xfId="0" applyFont="1" applyBorder="1" applyAlignment="1">
      <alignment horizontal="left" vertical="center"/>
    </xf>
    <xf numFmtId="3" fontId="12" fillId="0" borderId="24" xfId="0" applyNumberFormat="1" applyFont="1" applyBorder="1"/>
    <xf numFmtId="0" fontId="12" fillId="0" borderId="24" xfId="0" applyFont="1" applyBorder="1"/>
    <xf numFmtId="0" fontId="5" fillId="0" borderId="2" xfId="0" applyFont="1" applyBorder="1" applyAlignment="1">
      <alignment horizontal="left" vertical="center"/>
    </xf>
    <xf numFmtId="0" fontId="12" fillId="0" borderId="30" xfId="0" quotePrefix="1" applyFont="1" applyBorder="1"/>
    <xf numFmtId="0" fontId="12" fillId="0" borderId="30" xfId="0" applyFont="1" applyBorder="1"/>
    <xf numFmtId="3" fontId="12" fillId="0" borderId="30" xfId="0" applyNumberFormat="1" applyFont="1" applyBorder="1"/>
    <xf numFmtId="3" fontId="12" fillId="0" borderId="12" xfId="0" applyNumberFormat="1" applyFont="1" applyBorder="1"/>
    <xf numFmtId="43" fontId="2" fillId="0" borderId="29" xfId="1" applyFont="1" applyBorder="1"/>
    <xf numFmtId="3" fontId="12" fillId="0" borderId="38" xfId="0" applyNumberFormat="1" applyFont="1" applyBorder="1"/>
    <xf numFmtId="0" fontId="12" fillId="0" borderId="1" xfId="0" applyFont="1" applyBorder="1"/>
    <xf numFmtId="3" fontId="12" fillId="0" borderId="21" xfId="0" applyNumberFormat="1" applyFont="1" applyBorder="1"/>
    <xf numFmtId="0" fontId="5" fillId="0" borderId="18" xfId="0" applyFont="1" applyBorder="1" applyAlignment="1">
      <alignment horizontal="center" vertical="center"/>
    </xf>
    <xf numFmtId="0" fontId="5" fillId="0" borderId="54" xfId="0" applyFont="1" applyBorder="1" applyAlignment="1">
      <alignment horizontal="center" vertical="center"/>
    </xf>
    <xf numFmtId="0" fontId="5" fillId="0" borderId="46" xfId="0" applyFont="1" applyBorder="1" applyAlignment="1">
      <alignment horizontal="left" vertical="center"/>
    </xf>
    <xf numFmtId="3" fontId="12" fillId="0" borderId="48" xfId="0" applyNumberFormat="1" applyFont="1" applyBorder="1"/>
    <xf numFmtId="0" fontId="12" fillId="0" borderId="48" xfId="0" applyFont="1" applyBorder="1"/>
    <xf numFmtId="43" fontId="2" fillId="11" borderId="2" xfId="1" applyFont="1" applyFill="1" applyBorder="1"/>
    <xf numFmtId="2" fontId="2" fillId="8" borderId="25" xfId="0" applyNumberFormat="1" applyFont="1" applyFill="1" applyBorder="1"/>
    <xf numFmtId="2" fontId="2" fillId="8" borderId="2" xfId="0" applyNumberFormat="1" applyFont="1" applyFill="1" applyBorder="1"/>
    <xf numFmtId="2" fontId="2" fillId="8" borderId="3" xfId="0" applyNumberFormat="1" applyFont="1" applyFill="1" applyBorder="1"/>
    <xf numFmtId="2" fontId="2" fillId="11" borderId="25" xfId="0" applyNumberFormat="1" applyFont="1" applyFill="1" applyBorder="1"/>
    <xf numFmtId="43" fontId="2" fillId="11" borderId="25" xfId="1" applyFont="1" applyFill="1" applyBorder="1"/>
    <xf numFmtId="16" fontId="2" fillId="0" borderId="38" xfId="0" applyNumberFormat="1" applyFont="1" applyBorder="1" applyAlignment="1">
      <alignment horizontal="center" vertical="center" wrapText="1"/>
    </xf>
    <xf numFmtId="0" fontId="2" fillId="0" borderId="0" xfId="0" applyFont="1" applyAlignment="1">
      <alignment horizontal="left"/>
    </xf>
    <xf numFmtId="0" fontId="2" fillId="0" borderId="55" xfId="0" applyFont="1" applyBorder="1" applyAlignment="1">
      <alignment vertical="center" wrapText="1"/>
    </xf>
    <xf numFmtId="0" fontId="2" fillId="10" borderId="55" xfId="0" applyFont="1" applyFill="1" applyBorder="1" applyAlignment="1">
      <alignment horizontal="center"/>
    </xf>
    <xf numFmtId="0" fontId="2" fillId="0" borderId="38" xfId="0" applyFont="1" applyBorder="1" applyAlignment="1">
      <alignment horizontal="left" vertical="center" wrapText="1"/>
    </xf>
    <xf numFmtId="2" fontId="2" fillId="11" borderId="3" xfId="0" applyNumberFormat="1" applyFont="1" applyFill="1" applyBorder="1"/>
    <xf numFmtId="0" fontId="2" fillId="0" borderId="62" xfId="0" applyFont="1" applyBorder="1"/>
    <xf numFmtId="0" fontId="2" fillId="0" borderId="38" xfId="0" applyFont="1" applyBorder="1" applyAlignment="1">
      <alignment horizontal="center" vertical="center"/>
    </xf>
    <xf numFmtId="16" fontId="2" fillId="0" borderId="39" xfId="0" applyNumberFormat="1" applyFont="1" applyBorder="1" applyAlignment="1">
      <alignment horizontal="center" vertical="center"/>
    </xf>
    <xf numFmtId="0" fontId="2" fillId="0" borderId="55" xfId="0" applyFont="1" applyBorder="1" applyAlignment="1">
      <alignment horizontal="center" vertical="center"/>
    </xf>
    <xf numFmtId="0" fontId="2" fillId="0" borderId="56" xfId="0" applyFont="1" applyBorder="1" applyAlignment="1">
      <alignment vertical="center" wrapText="1"/>
    </xf>
    <xf numFmtId="0" fontId="2" fillId="0" borderId="38" xfId="0" applyFont="1" applyBorder="1" applyAlignment="1">
      <alignment wrapText="1"/>
    </xf>
    <xf numFmtId="0" fontId="2" fillId="0" borderId="63" xfId="0" applyFont="1" applyBorder="1"/>
    <xf numFmtId="16" fontId="2" fillId="0" borderId="62" xfId="0" applyNumberFormat="1" applyFont="1" applyBorder="1" applyAlignment="1">
      <alignment horizontal="center" vertical="center"/>
    </xf>
    <xf numFmtId="2" fontId="5" fillId="0" borderId="25" xfId="0" applyNumberFormat="1" applyFont="1" applyBorder="1"/>
    <xf numFmtId="41" fontId="5" fillId="0" borderId="25" xfId="0" applyNumberFormat="1" applyFont="1" applyBorder="1"/>
    <xf numFmtId="164" fontId="5" fillId="0" borderId="25" xfId="1" applyNumberFormat="1" applyFont="1" applyBorder="1"/>
    <xf numFmtId="2" fontId="5" fillId="0" borderId="2" xfId="0" applyNumberFormat="1" applyFont="1" applyBorder="1"/>
    <xf numFmtId="41" fontId="5" fillId="0" borderId="2" xfId="0" applyNumberFormat="1" applyFont="1" applyBorder="1"/>
    <xf numFmtId="164" fontId="5" fillId="0" borderId="2" xfId="1" applyNumberFormat="1" applyFont="1" applyBorder="1"/>
    <xf numFmtId="2" fontId="5" fillId="0" borderId="43" xfId="0" applyNumberFormat="1" applyFont="1" applyBorder="1"/>
    <xf numFmtId="41" fontId="5" fillId="0" borderId="43" xfId="0" applyNumberFormat="1" applyFont="1" applyBorder="1"/>
    <xf numFmtId="164" fontId="5" fillId="0" borderId="46" xfId="1" applyNumberFormat="1" applyFont="1" applyBorder="1"/>
    <xf numFmtId="2" fontId="5" fillId="3" borderId="50" xfId="0" applyNumberFormat="1" applyFont="1" applyFill="1" applyBorder="1"/>
    <xf numFmtId="41" fontId="5" fillId="3" borderId="4" xfId="0" applyNumberFormat="1" applyFont="1" applyFill="1" applyBorder="1"/>
    <xf numFmtId="0" fontId="5" fillId="0" borderId="43" xfId="0" applyFont="1" applyBorder="1"/>
    <xf numFmtId="2" fontId="5" fillId="3" borderId="4" xfId="0" applyNumberFormat="1" applyFont="1" applyFill="1" applyBorder="1"/>
    <xf numFmtId="2" fontId="5" fillId="0" borderId="46" xfId="0" applyNumberFormat="1" applyFont="1" applyBorder="1"/>
    <xf numFmtId="41" fontId="5" fillId="0" borderId="46" xfId="0" applyNumberFormat="1" applyFont="1" applyBorder="1"/>
    <xf numFmtId="2" fontId="5" fillId="3" borderId="43" xfId="0" applyNumberFormat="1" applyFont="1" applyFill="1" applyBorder="1"/>
    <xf numFmtId="41" fontId="5" fillId="3" borderId="43" xfId="0" applyNumberFormat="1" applyFont="1" applyFill="1" applyBorder="1"/>
    <xf numFmtId="2" fontId="5" fillId="3" borderId="22" xfId="0" applyNumberFormat="1" applyFont="1" applyFill="1" applyBorder="1"/>
    <xf numFmtId="41" fontId="5" fillId="3" borderId="22" xfId="0" applyNumberFormat="1" applyFont="1" applyFill="1" applyBorder="1"/>
    <xf numFmtId="2" fontId="12" fillId="0" borderId="25" xfId="0" applyNumberFormat="1" applyFont="1" applyBorder="1"/>
    <xf numFmtId="2" fontId="12" fillId="0" borderId="1" xfId="0" quotePrefix="1" applyNumberFormat="1" applyFont="1" applyBorder="1"/>
    <xf numFmtId="2" fontId="12" fillId="0" borderId="1" xfId="0" applyNumberFormat="1" applyFont="1" applyBorder="1"/>
    <xf numFmtId="2" fontId="12" fillId="0" borderId="43" xfId="0" applyNumberFormat="1" applyFont="1" applyBorder="1"/>
    <xf numFmtId="2" fontId="12" fillId="0" borderId="24" xfId="0" applyNumberFormat="1" applyFont="1" applyBorder="1"/>
    <xf numFmtId="1" fontId="12" fillId="0" borderId="30" xfId="0" applyNumberFormat="1" applyFont="1" applyBorder="1"/>
    <xf numFmtId="2" fontId="12" fillId="0" borderId="30" xfId="0" applyNumberFormat="1" applyFont="1" applyBorder="1"/>
    <xf numFmtId="1" fontId="12" fillId="0" borderId="30" xfId="0" quotePrefix="1" applyNumberFormat="1" applyFont="1" applyBorder="1"/>
    <xf numFmtId="164" fontId="2" fillId="0" borderId="43" xfId="1" applyNumberFormat="1" applyFont="1" applyBorder="1"/>
    <xf numFmtId="14" fontId="3" fillId="0" borderId="0" xfId="2" applyNumberFormat="1" applyFont="1"/>
    <xf numFmtId="16" fontId="2" fillId="0" borderId="63" xfId="0" applyNumberFormat="1" applyFont="1" applyBorder="1" applyAlignment="1">
      <alignment horizontal="center" vertical="center"/>
    </xf>
    <xf numFmtId="2" fontId="2" fillId="11" borderId="2" xfId="0" applyNumberFormat="1" applyFont="1" applyFill="1" applyBorder="1"/>
    <xf numFmtId="2" fontId="2" fillId="0" borderId="3" xfId="0" applyNumberFormat="1" applyFont="1" applyBorder="1"/>
    <xf numFmtId="0" fontId="2" fillId="0" borderId="0" xfId="0" applyFont="1" applyAlignment="1">
      <alignment horizontal="center" vertical="center"/>
    </xf>
    <xf numFmtId="14" fontId="3" fillId="0" borderId="0" xfId="2" applyNumberFormat="1" applyFont="1" applyAlignment="1">
      <alignment horizontal="center" vertical="center"/>
    </xf>
    <xf numFmtId="0" fontId="2" fillId="0" borderId="2" xfId="0" applyFont="1" applyBorder="1" applyAlignment="1">
      <alignment horizontal="center" vertical="center" wrapText="1"/>
    </xf>
    <xf numFmtId="0" fontId="2" fillId="10" borderId="2" xfId="0" applyFont="1" applyFill="1" applyBorder="1" applyAlignment="1">
      <alignment horizontal="center" vertical="center" wrapText="1"/>
    </xf>
    <xf numFmtId="167" fontId="2" fillId="0" borderId="2" xfId="2" applyNumberFormat="1" applyFont="1" applyBorder="1" applyAlignment="1">
      <alignment horizontal="center" vertical="center" wrapText="1"/>
    </xf>
    <xf numFmtId="0" fontId="2" fillId="0" borderId="0" xfId="0" applyFont="1" applyAlignment="1">
      <alignment horizontal="center" vertical="center" wrapText="1"/>
    </xf>
    <xf numFmtId="14" fontId="3" fillId="0" borderId="0" xfId="2" applyNumberFormat="1" applyFont="1" applyAlignment="1">
      <alignment horizontal="center" vertical="center" wrapText="1"/>
    </xf>
    <xf numFmtId="2" fontId="14" fillId="0" borderId="25" xfId="0" applyNumberFormat="1" applyFont="1" applyBorder="1"/>
    <xf numFmtId="0" fontId="15" fillId="0" borderId="30" xfId="0" applyFont="1" applyBorder="1"/>
    <xf numFmtId="16" fontId="14" fillId="0" borderId="62" xfId="0" applyNumberFormat="1" applyFont="1" applyBorder="1" applyAlignment="1">
      <alignment horizontal="center" vertical="center"/>
    </xf>
    <xf numFmtId="0" fontId="14" fillId="0" borderId="40" xfId="0" applyFont="1" applyBorder="1" applyAlignment="1">
      <alignment vertical="center" wrapText="1"/>
    </xf>
    <xf numFmtId="0" fontId="14" fillId="0" borderId="55" xfId="0" applyFont="1" applyBorder="1" applyAlignment="1">
      <alignment vertical="center" wrapText="1"/>
    </xf>
    <xf numFmtId="0" fontId="14" fillId="0" borderId="0" xfId="0" applyFont="1"/>
    <xf numFmtId="164" fontId="2" fillId="3" borderId="25" xfId="1" applyNumberFormat="1" applyFont="1" applyFill="1" applyBorder="1"/>
    <xf numFmtId="164" fontId="2" fillId="3" borderId="44" xfId="1" applyNumberFormat="1" applyFont="1" applyFill="1" applyBorder="1"/>
    <xf numFmtId="167" fontId="14" fillId="0" borderId="2" xfId="2" applyNumberFormat="1" applyFont="1" applyBorder="1" applyAlignment="1">
      <alignment horizontal="center" vertical="center" wrapText="1"/>
    </xf>
    <xf numFmtId="0" fontId="14" fillId="0" borderId="2" xfId="0" applyFont="1" applyBorder="1" applyAlignment="1">
      <alignment horizontal="center" vertical="center" wrapText="1"/>
    </xf>
    <xf numFmtId="16" fontId="14" fillId="0" borderId="39" xfId="0" applyNumberFormat="1" applyFont="1" applyBorder="1" applyAlignment="1">
      <alignment horizontal="center" vertical="center"/>
    </xf>
    <xf numFmtId="16" fontId="5" fillId="0" borderId="8" xfId="0" applyNumberFormat="1" applyFont="1" applyBorder="1" applyAlignment="1">
      <alignment horizontal="centerContinuous"/>
    </xf>
    <xf numFmtId="0" fontId="5" fillId="0" borderId="9" xfId="0" applyFont="1" applyBorder="1" applyAlignment="1">
      <alignment horizontal="centerContinuous"/>
    </xf>
    <xf numFmtId="0" fontId="5" fillId="0" borderId="10" xfId="0" applyFont="1" applyBorder="1" applyAlignment="1">
      <alignment horizontal="centerContinuous"/>
    </xf>
    <xf numFmtId="0" fontId="14" fillId="0" borderId="38" xfId="0" applyFont="1" applyBorder="1" applyAlignment="1">
      <alignment horizontal="center" vertical="center" wrapText="1"/>
    </xf>
    <xf numFmtId="0" fontId="14" fillId="0" borderId="0" xfId="0" applyFont="1" applyAlignment="1">
      <alignment vertical="center" wrapText="1"/>
    </xf>
    <xf numFmtId="43" fontId="2" fillId="0" borderId="25" xfId="1" applyFont="1" applyFill="1" applyBorder="1"/>
    <xf numFmtId="43" fontId="2" fillId="0" borderId="2" xfId="1" applyFont="1" applyFill="1" applyBorder="1"/>
    <xf numFmtId="0" fontId="15" fillId="0" borderId="55" xfId="0" applyFont="1" applyBorder="1" applyAlignment="1">
      <alignment vertical="center" wrapText="1"/>
    </xf>
    <xf numFmtId="0" fontId="14" fillId="0" borderId="38" xfId="0" applyFont="1" applyBorder="1" applyAlignment="1">
      <alignment vertical="center" wrapText="1"/>
    </xf>
    <xf numFmtId="0" fontId="15" fillId="0" borderId="59" xfId="0" applyFont="1" applyBorder="1" applyAlignment="1">
      <alignment vertical="center" wrapText="1"/>
    </xf>
    <xf numFmtId="0" fontId="14" fillId="0" borderId="67" xfId="0" applyFont="1" applyBorder="1" applyAlignment="1">
      <alignment vertical="center" wrapText="1"/>
    </xf>
    <xf numFmtId="0" fontId="2" fillId="10" borderId="61" xfId="0" applyFont="1" applyFill="1" applyBorder="1" applyAlignment="1">
      <alignment horizontal="center"/>
    </xf>
    <xf numFmtId="16" fontId="14" fillId="0" borderId="57" xfId="0" applyNumberFormat="1" applyFont="1" applyBorder="1" applyAlignment="1">
      <alignment horizontal="center" vertical="center"/>
    </xf>
    <xf numFmtId="0" fontId="2" fillId="0" borderId="38" xfId="0" quotePrefix="1" applyFont="1" applyBorder="1" applyAlignment="1">
      <alignment horizontal="left" vertical="center" wrapText="1"/>
    </xf>
    <xf numFmtId="0" fontId="2" fillId="0" borderId="38" xfId="0" applyFont="1" applyBorder="1" applyAlignment="1">
      <alignment horizontal="left" vertical="center" wrapText="1"/>
    </xf>
    <xf numFmtId="0" fontId="2" fillId="0" borderId="38" xfId="0" quotePrefix="1" applyFont="1" applyBorder="1" applyAlignment="1">
      <alignment horizontal="center" vertical="center" wrapText="1"/>
    </xf>
    <xf numFmtId="0" fontId="2" fillId="0" borderId="38" xfId="0" applyFont="1" applyBorder="1" applyAlignment="1">
      <alignment horizontal="center" vertical="center" wrapText="1"/>
    </xf>
    <xf numFmtId="0" fontId="2" fillId="0" borderId="40" xfId="0" applyFont="1" applyBorder="1" applyAlignment="1">
      <alignment horizontal="left" vertical="center" wrapText="1"/>
    </xf>
    <xf numFmtId="15" fontId="2" fillId="0" borderId="40" xfId="0" applyNumberFormat="1" applyFont="1" applyBorder="1" applyAlignment="1">
      <alignment horizontal="center" vertical="center" wrapText="1"/>
    </xf>
    <xf numFmtId="15" fontId="2" fillId="0" borderId="38" xfId="0" applyNumberFormat="1" applyFont="1" applyBorder="1" applyAlignment="1">
      <alignment horizontal="center" vertical="center" wrapText="1"/>
    </xf>
    <xf numFmtId="0" fontId="15" fillId="0" borderId="56" xfId="0" quotePrefix="1" applyFont="1" applyBorder="1" applyAlignment="1">
      <alignment horizontal="left" vertical="center" wrapText="1"/>
    </xf>
    <xf numFmtId="0" fontId="14" fillId="0" borderId="60" xfId="0" applyFont="1" applyBorder="1" applyAlignment="1">
      <alignment horizontal="left" vertical="center" wrapText="1"/>
    </xf>
    <xf numFmtId="0" fontId="14" fillId="0" borderId="61" xfId="0" applyFont="1" applyBorder="1" applyAlignment="1">
      <alignment horizontal="left" vertical="center" wrapText="1"/>
    </xf>
    <xf numFmtId="0" fontId="14" fillId="0" borderId="55" xfId="0" applyFont="1" applyBorder="1" applyAlignment="1">
      <alignment horizontal="left" vertical="center" wrapText="1"/>
    </xf>
    <xf numFmtId="0" fontId="14" fillId="0" borderId="40" xfId="0" applyFont="1" applyBorder="1" applyAlignment="1">
      <alignment horizontal="left" vertical="center" wrapText="1"/>
    </xf>
    <xf numFmtId="0" fontId="14" fillId="0" borderId="55" xfId="0" quotePrefix="1" applyFont="1" applyBorder="1" applyAlignment="1">
      <alignment horizontal="left" vertical="center" wrapText="1"/>
    </xf>
    <xf numFmtId="0" fontId="14" fillId="0" borderId="59" xfId="0" applyFont="1" applyBorder="1" applyAlignment="1">
      <alignment horizontal="left" vertical="center" wrapText="1"/>
    </xf>
    <xf numFmtId="15" fontId="14" fillId="0" borderId="55" xfId="0" applyNumberFormat="1" applyFont="1" applyBorder="1" applyAlignment="1">
      <alignment horizontal="center" vertical="center" wrapText="1"/>
    </xf>
    <xf numFmtId="15" fontId="14" fillId="0" borderId="40" xfId="0" applyNumberFormat="1" applyFont="1" applyBorder="1" applyAlignment="1">
      <alignment horizontal="center" vertical="center" wrapText="1"/>
    </xf>
    <xf numFmtId="0" fontId="15" fillId="0" borderId="55" xfId="0" quotePrefix="1" applyFont="1" applyBorder="1" applyAlignment="1">
      <alignment horizontal="left" vertical="center" wrapText="1"/>
    </xf>
    <xf numFmtId="0" fontId="14" fillId="0" borderId="38" xfId="0" applyFont="1" applyBorder="1" applyAlignment="1">
      <alignment horizontal="left" vertical="center" wrapText="1"/>
    </xf>
    <xf numFmtId="0" fontId="14" fillId="0" borderId="56" xfId="0" quotePrefix="1" applyFont="1" applyBorder="1" applyAlignment="1">
      <alignment horizontal="left" vertical="center" wrapText="1"/>
    </xf>
    <xf numFmtId="0" fontId="14" fillId="0" borderId="56" xfId="0" applyFont="1" applyBorder="1" applyAlignment="1">
      <alignment horizontal="left" vertical="center" wrapText="1"/>
    </xf>
    <xf numFmtId="15" fontId="14" fillId="0" borderId="56" xfId="0" applyNumberFormat="1" applyFont="1" applyBorder="1" applyAlignment="1">
      <alignment horizontal="center" vertical="center" wrapText="1"/>
    </xf>
    <xf numFmtId="15" fontId="14" fillId="0" borderId="61" xfId="0" applyNumberFormat="1" applyFont="1" applyBorder="1" applyAlignment="1">
      <alignment horizontal="center" vertical="center" wrapText="1"/>
    </xf>
    <xf numFmtId="0" fontId="2" fillId="0" borderId="40" xfId="0" quotePrefix="1" applyFont="1" applyBorder="1" applyAlignment="1">
      <alignment horizontal="left" vertical="center" wrapText="1"/>
    </xf>
    <xf numFmtId="0" fontId="2" fillId="0" borderId="56" xfId="0" quotePrefix="1" applyFont="1" applyBorder="1" applyAlignment="1">
      <alignment horizontal="left" vertical="center" wrapText="1"/>
    </xf>
    <xf numFmtId="0" fontId="2" fillId="0" borderId="60" xfId="0" applyFont="1" applyBorder="1" applyAlignment="1">
      <alignment horizontal="left" vertical="center" wrapText="1"/>
    </xf>
    <xf numFmtId="0" fontId="2" fillId="0" borderId="61" xfId="0" applyFont="1" applyBorder="1" applyAlignment="1">
      <alignment horizontal="left" vertical="center" wrapText="1"/>
    </xf>
    <xf numFmtId="0" fontId="2" fillId="0" borderId="56" xfId="0" applyFont="1" applyBorder="1" applyAlignment="1">
      <alignment horizontal="center" vertical="center" wrapText="1"/>
    </xf>
    <xf numFmtId="0" fontId="2" fillId="0" borderId="61" xfId="0" applyFont="1" applyBorder="1" applyAlignment="1">
      <alignment horizontal="center" vertical="center" wrapText="1"/>
    </xf>
    <xf numFmtId="15" fontId="2" fillId="0" borderId="56" xfId="0" applyNumberFormat="1" applyFont="1" applyBorder="1" applyAlignment="1">
      <alignment horizontal="center" vertical="center" wrapText="1"/>
    </xf>
    <xf numFmtId="15" fontId="2" fillId="0" borderId="61" xfId="0" applyNumberFormat="1" applyFont="1" applyBorder="1" applyAlignment="1">
      <alignment horizontal="center" vertical="center" wrapText="1"/>
    </xf>
    <xf numFmtId="0" fontId="2" fillId="0" borderId="56" xfId="0" applyFont="1" applyBorder="1" applyAlignment="1">
      <alignment horizontal="left" vertical="center" wrapText="1"/>
    </xf>
    <xf numFmtId="0" fontId="2" fillId="0" borderId="55" xfId="0" quotePrefix="1" applyFont="1" applyBorder="1" applyAlignment="1">
      <alignment horizontal="left" vertical="center"/>
    </xf>
    <xf numFmtId="0" fontId="2" fillId="0" borderId="59" xfId="0" applyFont="1" applyBorder="1" applyAlignment="1">
      <alignment horizontal="left" vertical="center"/>
    </xf>
    <xf numFmtId="0" fontId="2" fillId="0" borderId="40" xfId="0" applyFont="1" applyBorder="1" applyAlignment="1">
      <alignment horizontal="left" vertical="center"/>
    </xf>
    <xf numFmtId="0" fontId="2" fillId="0" borderId="57" xfId="0" quotePrefix="1" applyFont="1" applyBorder="1" applyAlignment="1">
      <alignment horizontal="left" vertical="center" wrapText="1"/>
    </xf>
    <xf numFmtId="0" fontId="2" fillId="0" borderId="0" xfId="0" applyFont="1" applyAlignment="1">
      <alignment horizontal="left" vertical="center" wrapText="1"/>
    </xf>
    <xf numFmtId="0" fontId="2" fillId="0" borderId="57"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57" xfId="0" applyFont="1" applyBorder="1" applyAlignment="1">
      <alignment horizontal="left" vertical="center" wrapText="1"/>
    </xf>
    <xf numFmtId="15" fontId="2" fillId="0" borderId="57" xfId="0" applyNumberFormat="1" applyFont="1" applyBorder="1" applyAlignment="1">
      <alignment horizontal="center" vertical="center" wrapText="1"/>
    </xf>
    <xf numFmtId="15" fontId="2" fillId="0" borderId="58" xfId="0" applyNumberFormat="1" applyFont="1" applyBorder="1" applyAlignment="1">
      <alignment horizontal="center" vertical="center" wrapText="1"/>
    </xf>
    <xf numFmtId="0" fontId="2" fillId="0" borderId="38" xfId="0" quotePrefix="1" applyFont="1" applyBorder="1" applyAlignment="1">
      <alignment horizontal="left" vertical="center"/>
    </xf>
    <xf numFmtId="0" fontId="2" fillId="0" borderId="38" xfId="0" applyFont="1" applyBorder="1" applyAlignment="1">
      <alignment horizontal="left" vertical="center"/>
    </xf>
    <xf numFmtId="0" fontId="12" fillId="0" borderId="38" xfId="0" quotePrefix="1" applyFont="1" applyBorder="1" applyAlignment="1">
      <alignment horizontal="left" vertical="center" wrapText="1"/>
    </xf>
    <xf numFmtId="0" fontId="12" fillId="0" borderId="38" xfId="0" applyFont="1" applyBorder="1" applyAlignment="1">
      <alignment horizontal="left" vertical="center" wrapText="1"/>
    </xf>
    <xf numFmtId="0" fontId="2" fillId="10" borderId="55" xfId="0" applyFont="1" applyFill="1" applyBorder="1" applyAlignment="1">
      <alignment horizontal="center"/>
    </xf>
    <xf numFmtId="0" fontId="2" fillId="10" borderId="59" xfId="0" applyFont="1" applyFill="1" applyBorder="1" applyAlignment="1">
      <alignment horizontal="center"/>
    </xf>
    <xf numFmtId="0" fontId="2" fillId="10" borderId="40" xfId="0" applyFont="1" applyFill="1" applyBorder="1" applyAlignment="1">
      <alignment horizontal="center"/>
    </xf>
    <xf numFmtId="16" fontId="2" fillId="0" borderId="39" xfId="0" applyNumberFormat="1" applyFont="1" applyBorder="1" applyAlignment="1">
      <alignment horizontal="center" vertical="center"/>
    </xf>
    <xf numFmtId="16" fontId="2" fillId="0" borderId="62" xfId="0" applyNumberFormat="1" applyFont="1" applyBorder="1" applyAlignment="1">
      <alignment horizontal="center" vertical="center"/>
    </xf>
    <xf numFmtId="15" fontId="2" fillId="0" borderId="60" xfId="0" applyNumberFormat="1" applyFont="1" applyBorder="1" applyAlignment="1">
      <alignment horizontal="center" vertical="center" wrapText="1"/>
    </xf>
    <xf numFmtId="0" fontId="2" fillId="0" borderId="38" xfId="0" applyFont="1" applyBorder="1" applyAlignment="1">
      <alignment horizontal="center" vertical="center"/>
    </xf>
    <xf numFmtId="0" fontId="2" fillId="0" borderId="39" xfId="0" applyFont="1" applyBorder="1" applyAlignment="1">
      <alignment horizontal="center" vertical="center"/>
    </xf>
    <xf numFmtId="16" fontId="2" fillId="0" borderId="38" xfId="0" applyNumberFormat="1" applyFont="1" applyBorder="1" applyAlignment="1">
      <alignment horizontal="center" vertical="center"/>
    </xf>
    <xf numFmtId="16" fontId="2" fillId="0" borderId="55" xfId="0" applyNumberFormat="1" applyFont="1" applyBorder="1" applyAlignment="1">
      <alignment horizontal="center" vertical="center" wrapText="1"/>
    </xf>
    <xf numFmtId="16" fontId="2" fillId="0" borderId="56" xfId="0" applyNumberFormat="1" applyFont="1" applyBorder="1" applyAlignment="1">
      <alignment horizontal="center" vertical="center" wrapText="1"/>
    </xf>
    <xf numFmtId="16" fontId="2" fillId="0" borderId="63" xfId="0" applyNumberFormat="1" applyFont="1" applyBorder="1" applyAlignment="1">
      <alignment horizontal="center" vertical="center"/>
    </xf>
    <xf numFmtId="16" fontId="2" fillId="0" borderId="64" xfId="0" applyNumberFormat="1" applyFont="1" applyBorder="1" applyAlignment="1">
      <alignment horizontal="center"/>
    </xf>
    <xf numFmtId="16" fontId="2" fillId="0" borderId="65" xfId="0" applyNumberFormat="1" applyFont="1" applyBorder="1" applyAlignment="1">
      <alignment horizontal="center"/>
    </xf>
    <xf numFmtId="16" fontId="2" fillId="0" borderId="66" xfId="0" applyNumberFormat="1" applyFont="1" applyBorder="1" applyAlignment="1">
      <alignment horizontal="center"/>
    </xf>
    <xf numFmtId="0" fontId="2" fillId="0" borderId="2" xfId="0" applyFont="1" applyBorder="1" applyAlignment="1">
      <alignment horizontal="center" vertical="center" wrapText="1"/>
    </xf>
    <xf numFmtId="167" fontId="2" fillId="0" borderId="2" xfId="2" applyNumberFormat="1" applyFont="1" applyBorder="1" applyAlignment="1">
      <alignment horizontal="center" vertical="center" wrapText="1"/>
    </xf>
    <xf numFmtId="167" fontId="14" fillId="0" borderId="3" xfId="2" applyNumberFormat="1" applyFont="1" applyBorder="1" applyAlignment="1">
      <alignment horizontal="center" vertical="center" wrapText="1"/>
    </xf>
    <xf numFmtId="167" fontId="14" fillId="0" borderId="4" xfId="2" applyNumberFormat="1" applyFont="1" applyBorder="1" applyAlignment="1">
      <alignment horizontal="center" vertical="center" wrapText="1"/>
    </xf>
    <xf numFmtId="167" fontId="14" fillId="0" borderId="1" xfId="2" applyNumberFormat="1"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cellXfs>
  <cellStyles count="4">
    <cellStyle name="Comma" xfId="1" builtinId="3"/>
    <cellStyle name="Normal" xfId="0" builtinId="0"/>
    <cellStyle name="Normal 12" xfId="2" xr:uid="{4776396B-5FB5-4164-9504-AB48DC6D002A}"/>
    <cellStyle name="Normal 2" xfId="3" xr:uid="{9CA8FC9B-28D4-43ED-B166-C9CC70F6513D}"/>
  </cellStyles>
  <dxfs count="25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geo-my.sharepoint.com/personal/orawan_pirakaew_yageo_com/Documents/00.MD/0.Daily%20Report_Covid_Ship_Output/0.Monthly-Daily_901-Ship.xlsx" TargetMode="External"/><Relationship Id="rId1" Type="http://schemas.openxmlformats.org/officeDocument/2006/relationships/externalLinkPath" Target="https://yageo.sharepoint.com/sites/thai/TET%20Scorecard/Shared%20Documents/Yield/0.Monthly-Daily_901-Sh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T_Covid"/>
      <sheetName val="Output_Oct"/>
      <sheetName val="Ship_Oct"/>
      <sheetName val="Output_Nov"/>
      <sheetName val="Ship_Nov"/>
      <sheetName val="Output_Dec"/>
      <sheetName val="Ship_Dec"/>
      <sheetName val="Output_Jan"/>
      <sheetName val="Ship_Jan"/>
      <sheetName val="Output_Feb"/>
      <sheetName val="Ship_Feb"/>
      <sheetName val="Output_Mar"/>
      <sheetName val="Ship_Mar"/>
      <sheetName val="Output_Apr"/>
      <sheetName val="Ship_Apr"/>
      <sheetName val="Working day"/>
      <sheetName val="change shift"/>
      <sheetName val="Attendance in shutdown"/>
      <sheetName val="Output_May"/>
      <sheetName val="Ship_May"/>
      <sheetName val="Output_Jun"/>
      <sheetName val="Ship_Jun"/>
      <sheetName val="Output_Jul"/>
      <sheetName val="Ship_Jul"/>
      <sheetName val="Output_Aug"/>
      <sheetName val="Ship_Aug"/>
      <sheetName val="Output_Sep"/>
      <sheetName val="Ship_Sep"/>
      <sheetName val="Plan SC2"/>
      <sheetName val="Output_Oct'23"/>
      <sheetName val="Ship_Oct'23"/>
      <sheetName val="Output_Nov'23"/>
      <sheetName val="Ship_Nov'23"/>
      <sheetName val="Output_Dec'23"/>
      <sheetName val="A08 Plan"/>
      <sheetName val="Ship_Dec'23"/>
      <sheetName val="Output_Jan'24"/>
      <sheetName val="Ship_Jan'24"/>
      <sheetName val="Output_Feb'24"/>
      <sheetName val="Ship_Feb'24"/>
      <sheetName val="Output_Mar'24"/>
      <sheetName val="Ship_Mar'24"/>
      <sheetName val="Output_Apr'24"/>
      <sheetName val="Ship_Apr'24"/>
      <sheetName val="Output_May'24"/>
      <sheetName val="Ship_May'24"/>
      <sheetName val="Output_Jun'24"/>
      <sheetName val="Ship_Jun'24"/>
      <sheetName val="Output_Jul'24"/>
      <sheetName val="Ship_Jul'24"/>
      <sheetName val="Output_Aug'24"/>
      <sheetName val="Ship_Aug'24"/>
      <sheetName val="Output_Sep'24"/>
      <sheetName val="Ship_Sep'24"/>
      <sheetName val="Output_Oct'24"/>
      <sheetName val="Ship_Oct'24"/>
      <sheetName val="Output_Nov'24"/>
      <sheetName val="Ship_Nov'24"/>
      <sheetName val="Output_Dec'24"/>
      <sheetName val="Ship_Dec'24"/>
      <sheetName val="Output_Jan'25"/>
      <sheetName val="Ship_Jan'25"/>
      <sheetName val="Output_Feb'25"/>
      <sheetName val="Ship_Feb'25"/>
      <sheetName val="Output_Mar'25"/>
      <sheetName val="Ship_Mar'25"/>
      <sheetName val="Output_Apr'25"/>
      <sheetName val="Ship_Apr'25"/>
      <sheetName val="Output_May'25"/>
      <sheetName val="Ship_May'25"/>
      <sheetName val="Output_Jun'25"/>
      <sheetName val="Ship_Jun'25"/>
      <sheetName val="Output_Jul'25"/>
      <sheetName val="Ship_Jul'25"/>
      <sheetName val="Output_Aug'25"/>
      <sheetName val="ShipAug'25"/>
      <sheetName val="Output_Sep'25"/>
      <sheetName val="ShipSep'25"/>
      <sheetName val="Output_Oct'25"/>
      <sheetName val="Ship_Oct'25"/>
      <sheetName val="Output_Nov'25"/>
      <sheetName val="Ship_Nov'25"/>
      <sheetName val="Output_Dec'25"/>
      <sheetName val="Ship_Dec'25"/>
      <sheetName val="Cap@30WD"/>
      <sheetName val="Output_Jan'26"/>
      <sheetName val="Ship_Jan'26"/>
      <sheetName val="Output_Feb'26"/>
      <sheetName val="Ship_Feb'26"/>
      <sheetName val="Output_Mar'26"/>
      <sheetName val="Ship_Mar'26"/>
      <sheetName val="Output_Apr'26"/>
      <sheetName val="Ship_Apr'26"/>
      <sheetName val="Output_May'26"/>
      <sheetName val="Ship_May'26"/>
      <sheetName val="Output_Jun'26"/>
      <sheetName val="Ship_Jun'26"/>
      <sheetName val="Output_Jul'26"/>
      <sheetName val="Ship_Jul'26"/>
      <sheetName val="901-Ship-MTD"/>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ow r="49">
          <cell r="Q49">
            <v>3886</v>
          </cell>
        </row>
        <row r="50">
          <cell r="Q50">
            <v>16280</v>
          </cell>
        </row>
        <row r="51">
          <cell r="Q51">
            <v>24882</v>
          </cell>
        </row>
        <row r="52">
          <cell r="Q52">
            <v>7270</v>
          </cell>
        </row>
        <row r="53">
          <cell r="Q53">
            <v>640</v>
          </cell>
        </row>
        <row r="54">
          <cell r="Q54">
            <v>2032</v>
          </cell>
        </row>
        <row r="55">
          <cell r="Q55">
            <v>270</v>
          </cell>
        </row>
        <row r="56">
          <cell r="Q56">
            <v>888</v>
          </cell>
        </row>
        <row r="57">
          <cell r="Q57">
            <v>1263</v>
          </cell>
        </row>
        <row r="58">
          <cell r="Q58">
            <v>0</v>
          </cell>
        </row>
        <row r="59">
          <cell r="Q59">
            <v>2796</v>
          </cell>
        </row>
        <row r="60">
          <cell r="Q60">
            <v>4005</v>
          </cell>
        </row>
        <row r="61">
          <cell r="Q61">
            <v>0</v>
          </cell>
        </row>
        <row r="62">
          <cell r="Q62">
            <v>1140</v>
          </cell>
        </row>
        <row r="63">
          <cell r="Q63">
            <v>9</v>
          </cell>
        </row>
      </sheetData>
      <sheetData sheetId="98">
        <row r="4">
          <cell r="D4">
            <v>0</v>
          </cell>
          <cell r="E4">
            <v>3</v>
          </cell>
          <cell r="F4">
            <v>3365</v>
          </cell>
          <cell r="G4">
            <v>0</v>
          </cell>
          <cell r="H4">
            <v>0</v>
          </cell>
          <cell r="I4">
            <v>0</v>
          </cell>
          <cell r="J4">
            <v>2530</v>
          </cell>
          <cell r="K4">
            <v>3931</v>
          </cell>
          <cell r="L4">
            <v>4927</v>
          </cell>
          <cell r="M4">
            <v>8352</v>
          </cell>
          <cell r="N4">
            <v>0</v>
          </cell>
          <cell r="O4">
            <v>0</v>
          </cell>
          <cell r="P4">
            <v>0</v>
          </cell>
          <cell r="Q4">
            <v>7004</v>
          </cell>
        </row>
        <row r="5">
          <cell r="D5">
            <v>0</v>
          </cell>
          <cell r="E5">
            <v>141</v>
          </cell>
          <cell r="F5">
            <v>0</v>
          </cell>
          <cell r="G5">
            <v>0</v>
          </cell>
          <cell r="H5">
            <v>0</v>
          </cell>
          <cell r="I5">
            <v>0</v>
          </cell>
          <cell r="J5">
            <v>1275</v>
          </cell>
          <cell r="K5">
            <v>0</v>
          </cell>
          <cell r="L5">
            <v>3183</v>
          </cell>
          <cell r="M5">
            <v>2196</v>
          </cell>
          <cell r="N5">
            <v>0</v>
          </cell>
          <cell r="O5">
            <v>0</v>
          </cell>
          <cell r="P5">
            <v>0</v>
          </cell>
          <cell r="Q5">
            <v>1164</v>
          </cell>
        </row>
        <row r="6">
          <cell r="D6">
            <v>0</v>
          </cell>
          <cell r="E6">
            <v>408</v>
          </cell>
          <cell r="F6">
            <v>0</v>
          </cell>
          <cell r="G6">
            <v>0</v>
          </cell>
          <cell r="H6">
            <v>0</v>
          </cell>
          <cell r="I6">
            <v>0</v>
          </cell>
          <cell r="J6">
            <v>207</v>
          </cell>
          <cell r="K6">
            <v>0</v>
          </cell>
          <cell r="L6">
            <v>501</v>
          </cell>
          <cell r="M6">
            <v>0</v>
          </cell>
          <cell r="N6">
            <v>0</v>
          </cell>
          <cell r="O6">
            <v>0</v>
          </cell>
          <cell r="P6">
            <v>0</v>
          </cell>
          <cell r="Q6">
            <v>42</v>
          </cell>
        </row>
        <row r="9">
          <cell r="D9">
            <v>0</v>
          </cell>
          <cell r="E9">
            <v>20</v>
          </cell>
          <cell r="F9">
            <v>4186</v>
          </cell>
          <cell r="G9">
            <v>0</v>
          </cell>
          <cell r="H9">
            <v>0</v>
          </cell>
          <cell r="I9">
            <v>0</v>
          </cell>
          <cell r="J9">
            <v>7257</v>
          </cell>
          <cell r="K9">
            <v>0</v>
          </cell>
          <cell r="L9">
            <v>7269</v>
          </cell>
          <cell r="M9">
            <v>10322</v>
          </cell>
          <cell r="N9">
            <v>0</v>
          </cell>
          <cell r="O9">
            <v>0</v>
          </cell>
          <cell r="P9">
            <v>0</v>
          </cell>
          <cell r="Q9">
            <v>6881</v>
          </cell>
        </row>
        <row r="10">
          <cell r="D10">
            <v>0</v>
          </cell>
          <cell r="E10">
            <v>144</v>
          </cell>
          <cell r="F10">
            <v>0</v>
          </cell>
          <cell r="G10">
            <v>0</v>
          </cell>
          <cell r="H10">
            <v>0</v>
          </cell>
          <cell r="I10">
            <v>0</v>
          </cell>
          <cell r="J10">
            <v>1725</v>
          </cell>
          <cell r="K10">
            <v>528</v>
          </cell>
          <cell r="L10">
            <v>2619</v>
          </cell>
          <cell r="M10">
            <v>2604</v>
          </cell>
          <cell r="N10">
            <v>0</v>
          </cell>
          <cell r="O10">
            <v>0</v>
          </cell>
          <cell r="P10">
            <v>0</v>
          </cell>
          <cell r="Q10">
            <v>510</v>
          </cell>
        </row>
        <row r="11">
          <cell r="D11">
            <v>0</v>
          </cell>
          <cell r="E11">
            <v>414</v>
          </cell>
          <cell r="F11">
            <v>0</v>
          </cell>
          <cell r="G11">
            <v>0</v>
          </cell>
          <cell r="H11">
            <v>0</v>
          </cell>
          <cell r="I11">
            <v>0</v>
          </cell>
          <cell r="J11">
            <v>201</v>
          </cell>
          <cell r="K11">
            <v>0</v>
          </cell>
          <cell r="L11">
            <v>597</v>
          </cell>
          <cell r="N11">
            <v>0</v>
          </cell>
          <cell r="O11">
            <v>0</v>
          </cell>
          <cell r="P11">
            <v>0</v>
          </cell>
          <cell r="Q11">
            <v>54</v>
          </cell>
        </row>
        <row r="16">
          <cell r="D16">
            <v>0</v>
          </cell>
          <cell r="E16">
            <v>0</v>
          </cell>
          <cell r="F16">
            <v>50</v>
          </cell>
          <cell r="G16">
            <v>0</v>
          </cell>
          <cell r="H16">
            <v>0</v>
          </cell>
          <cell r="I16">
            <v>0</v>
          </cell>
          <cell r="J16">
            <v>18.079999999999998</v>
          </cell>
          <cell r="K16">
            <v>34.58</v>
          </cell>
          <cell r="L16">
            <v>48.31</v>
          </cell>
          <cell r="M16">
            <v>54</v>
          </cell>
          <cell r="N16">
            <v>0</v>
          </cell>
          <cell r="O16">
            <v>0</v>
          </cell>
          <cell r="P16">
            <v>0</v>
          </cell>
          <cell r="Q16">
            <v>132.29</v>
          </cell>
        </row>
        <row r="17">
          <cell r="D17">
            <v>0</v>
          </cell>
          <cell r="E17">
            <v>0</v>
          </cell>
          <cell r="F17">
            <v>0</v>
          </cell>
          <cell r="G17">
            <v>0</v>
          </cell>
          <cell r="H17">
            <v>0</v>
          </cell>
          <cell r="I17">
            <v>0</v>
          </cell>
          <cell r="J17">
            <v>62.05</v>
          </cell>
          <cell r="K17">
            <v>60.5</v>
          </cell>
          <cell r="L17">
            <v>98.5</v>
          </cell>
          <cell r="M17">
            <v>5</v>
          </cell>
          <cell r="N17">
            <v>0</v>
          </cell>
          <cell r="O17">
            <v>0</v>
          </cell>
          <cell r="P17">
            <v>0</v>
          </cell>
          <cell r="Q17">
            <v>30.1</v>
          </cell>
        </row>
        <row r="18">
          <cell r="D18">
            <v>0</v>
          </cell>
          <cell r="E18">
            <v>0</v>
          </cell>
          <cell r="F18">
            <v>0</v>
          </cell>
          <cell r="G18">
            <v>0</v>
          </cell>
          <cell r="H18">
            <v>0</v>
          </cell>
          <cell r="I18">
            <v>0</v>
          </cell>
          <cell r="J18">
            <v>142.4</v>
          </cell>
          <cell r="K18">
            <v>14.4</v>
          </cell>
          <cell r="L18">
            <v>67.599999999999994</v>
          </cell>
          <cell r="M18">
            <v>40</v>
          </cell>
          <cell r="N18">
            <v>0</v>
          </cell>
          <cell r="O18">
            <v>0</v>
          </cell>
          <cell r="P18">
            <v>0</v>
          </cell>
          <cell r="Q18">
            <v>406.6</v>
          </cell>
        </row>
        <row r="21">
          <cell r="C21">
            <v>470.66</v>
          </cell>
        </row>
        <row r="22">
          <cell r="C22">
            <v>531.79999999999995</v>
          </cell>
        </row>
        <row r="23">
          <cell r="C23">
            <v>1006</v>
          </cell>
        </row>
      </sheetData>
      <sheetData sheetId="99" refreshError="1"/>
      <sheetData sheetId="10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958B1-EDAC-4FF2-9743-E3A2EC1FEA80}">
  <dimension ref="A1:K40"/>
  <sheetViews>
    <sheetView showGridLines="0" workbookViewId="0">
      <pane xSplit="3" ySplit="3" topLeftCell="D10" activePane="bottomRight" state="frozen"/>
      <selection pane="topRight" activeCell="D1" sqref="D1"/>
      <selection pane="bottomLeft" activeCell="A4" sqref="A4"/>
      <selection pane="bottomRight" activeCell="K18" sqref="K18"/>
    </sheetView>
  </sheetViews>
  <sheetFormatPr defaultColWidth="8.54296875" defaultRowHeight="11.5" x14ac:dyDescent="0.25"/>
  <cols>
    <col min="1" max="1" width="8.54296875" style="1"/>
    <col min="2" max="2" width="11.453125" style="1" customWidth="1"/>
    <col min="3" max="3" width="9.54296875" style="1" bestFit="1" customWidth="1"/>
    <col min="4" max="4" width="10.453125" style="1" bestFit="1" customWidth="1"/>
    <col min="5" max="5" width="10.453125" style="1" customWidth="1"/>
    <col min="6" max="7" width="9.453125" style="1" bestFit="1" customWidth="1"/>
    <col min="8" max="8" width="8.54296875" style="1"/>
    <col min="9" max="9" width="14.453125" style="1" bestFit="1" customWidth="1"/>
    <col min="10" max="10" width="9.453125" style="1" bestFit="1" customWidth="1"/>
    <col min="11" max="11" width="12.54296875" style="1" bestFit="1" customWidth="1"/>
    <col min="12" max="16384" width="8.54296875" style="1"/>
  </cols>
  <sheetData>
    <row r="1" spans="1:11" x14ac:dyDescent="0.25">
      <c r="D1" s="3" t="s">
        <v>0</v>
      </c>
      <c r="E1" s="7">
        <v>46204</v>
      </c>
    </row>
    <row r="2" spans="1:11" x14ac:dyDescent="0.25">
      <c r="B2" s="76" t="s">
        <v>1</v>
      </c>
      <c r="C2" s="76"/>
      <c r="D2" s="3" t="s">
        <v>2</v>
      </c>
      <c r="E2" s="7">
        <f ca="1">TODAY()</f>
        <v>46248</v>
      </c>
      <c r="F2" s="8">
        <f ca="1">DAY(E2-E1)</f>
        <v>13</v>
      </c>
    </row>
    <row r="3" spans="1:11" x14ac:dyDescent="0.25">
      <c r="A3" s="53"/>
      <c r="B3" s="72" t="s">
        <v>3</v>
      </c>
      <c r="C3" s="72" t="s">
        <v>4</v>
      </c>
      <c r="D3" s="73" t="s">
        <v>5</v>
      </c>
      <c r="E3" s="73" t="s">
        <v>6</v>
      </c>
      <c r="F3" s="73" t="s">
        <v>7</v>
      </c>
      <c r="G3" s="73" t="s">
        <v>8</v>
      </c>
      <c r="H3" s="73" t="s">
        <v>9</v>
      </c>
      <c r="I3" s="73" t="s">
        <v>10</v>
      </c>
    </row>
    <row r="4" spans="1:11" x14ac:dyDescent="0.25">
      <c r="A4" s="4" t="s">
        <v>11</v>
      </c>
      <c r="B4" s="71" t="s">
        <v>12</v>
      </c>
      <c r="C4" s="71" t="s">
        <v>13</v>
      </c>
      <c r="D4" s="54">
        <v>28964</v>
      </c>
      <c r="E4" s="54">
        <v>965.4666666666667</v>
      </c>
      <c r="F4" s="55">
        <v>9654.6666666666679</v>
      </c>
      <c r="G4" s="54">
        <v>12733</v>
      </c>
      <c r="H4" s="55">
        <f t="shared" ref="H4:H10" si="0">G4-F4</f>
        <v>3078.3333333333321</v>
      </c>
      <c r="I4" s="56">
        <f t="shared" ref="I4:I17" si="1">G4/F4</f>
        <v>1.3188440823090732</v>
      </c>
    </row>
    <row r="5" spans="1:11" x14ac:dyDescent="0.25">
      <c r="A5" s="5"/>
      <c r="B5" s="61" t="s">
        <v>14</v>
      </c>
      <c r="C5" s="71" t="s">
        <v>13</v>
      </c>
      <c r="D5" s="54">
        <v>176522.52110632131</v>
      </c>
      <c r="E5" s="54">
        <v>5884.084036877377</v>
      </c>
      <c r="F5" s="55">
        <v>58840.840368773774</v>
      </c>
      <c r="G5" s="54">
        <v>74100.899999999994</v>
      </c>
      <c r="H5" s="55">
        <f t="shared" si="0"/>
        <v>15260.059631226221</v>
      </c>
      <c r="I5" s="56">
        <f t="shared" si="1"/>
        <v>1.2593446921489684</v>
      </c>
    </row>
    <row r="6" spans="1:11" x14ac:dyDescent="0.25">
      <c r="A6" s="5"/>
      <c r="B6" s="4" t="s">
        <v>15</v>
      </c>
      <c r="C6" s="9" t="s">
        <v>16</v>
      </c>
      <c r="D6" s="10">
        <v>9552.2866597280354</v>
      </c>
      <c r="E6" s="10">
        <v>318.40955532426784</v>
      </c>
      <c r="F6" s="11">
        <v>3184.0955532426783</v>
      </c>
      <c r="G6" s="10">
        <v>3828.4009999999998</v>
      </c>
      <c r="H6" s="11">
        <f t="shared" si="0"/>
        <v>644.30544675732153</v>
      </c>
      <c r="I6" s="12">
        <f t="shared" si="1"/>
        <v>1.2023511656555539</v>
      </c>
    </row>
    <row r="7" spans="1:11" x14ac:dyDescent="0.25">
      <c r="A7" s="5"/>
      <c r="B7" s="5"/>
      <c r="C7" s="9" t="s">
        <v>17</v>
      </c>
      <c r="D7" s="10">
        <v>132957.05537818465</v>
      </c>
      <c r="E7" s="10">
        <v>4431.9018459394883</v>
      </c>
      <c r="F7" s="11">
        <v>44319.01845939488</v>
      </c>
      <c r="G7" s="10">
        <v>54800.262999999999</v>
      </c>
      <c r="H7" s="11">
        <f t="shared" si="0"/>
        <v>10481.244540605119</v>
      </c>
      <c r="I7" s="12">
        <f t="shared" si="1"/>
        <v>1.2364954122395118</v>
      </c>
    </row>
    <row r="8" spans="1:11" x14ac:dyDescent="0.25">
      <c r="A8" s="5"/>
      <c r="B8" s="5"/>
      <c r="C8" s="9" t="s">
        <v>18</v>
      </c>
      <c r="D8" s="10">
        <v>18639.959421244464</v>
      </c>
      <c r="E8" s="10">
        <v>621.33198070814876</v>
      </c>
      <c r="F8" s="11">
        <v>6213.3198070814879</v>
      </c>
      <c r="G8" s="10">
        <v>9114.1929999999993</v>
      </c>
      <c r="H8" s="11">
        <f t="shared" si="0"/>
        <v>2900.8731929185114</v>
      </c>
      <c r="I8" s="12">
        <f t="shared" si="1"/>
        <v>1.4668797491499324</v>
      </c>
    </row>
    <row r="9" spans="1:11" x14ac:dyDescent="0.25">
      <c r="A9" s="5"/>
      <c r="B9" s="5"/>
      <c r="C9" s="9" t="s">
        <v>19</v>
      </c>
      <c r="D9" s="10">
        <v>10361.348494361555</v>
      </c>
      <c r="E9" s="10">
        <v>345.37828314538518</v>
      </c>
      <c r="F9" s="11">
        <v>3453.7828314538519</v>
      </c>
      <c r="G9" s="10">
        <v>4438.2719999999999</v>
      </c>
      <c r="H9" s="11">
        <f t="shared" si="0"/>
        <v>984.48916854614799</v>
      </c>
      <c r="I9" s="12">
        <f t="shared" si="1"/>
        <v>1.2850466333842225</v>
      </c>
    </row>
    <row r="10" spans="1:11" x14ac:dyDescent="0.25">
      <c r="A10" s="5"/>
      <c r="B10" s="5"/>
      <c r="C10" s="9" t="s">
        <v>20</v>
      </c>
      <c r="D10" s="10">
        <v>3963.1936764095826</v>
      </c>
      <c r="E10" s="10">
        <v>132.10645588031943</v>
      </c>
      <c r="F10" s="11">
        <v>1321.0645588031944</v>
      </c>
      <c r="G10" s="10">
        <v>1726.75</v>
      </c>
      <c r="H10" s="11">
        <f t="shared" si="0"/>
        <v>405.68544119680564</v>
      </c>
      <c r="I10" s="12">
        <f t="shared" si="1"/>
        <v>1.3070897924658069</v>
      </c>
    </row>
    <row r="11" spans="1:11" x14ac:dyDescent="0.25">
      <c r="A11" s="5"/>
      <c r="B11" s="6"/>
      <c r="C11" s="71" t="s">
        <v>21</v>
      </c>
      <c r="D11" s="54">
        <v>175473.84362992828</v>
      </c>
      <c r="E11" s="54">
        <v>5849.1281209976096</v>
      </c>
      <c r="F11" s="54">
        <v>58491.281209976092</v>
      </c>
      <c r="G11" s="54">
        <v>73907.878999999986</v>
      </c>
      <c r="H11" s="54">
        <f t="shared" ref="H11" si="2">SUM(H6:H10)</f>
        <v>15416.597790023905</v>
      </c>
      <c r="I11" s="56">
        <f t="shared" si="1"/>
        <v>1.263570868531334</v>
      </c>
    </row>
    <row r="12" spans="1:11" x14ac:dyDescent="0.25">
      <c r="A12" s="5"/>
      <c r="B12" s="4" t="s">
        <v>22</v>
      </c>
      <c r="C12" s="9" t="s">
        <v>16</v>
      </c>
      <c r="D12" s="10">
        <v>8599.9999999999982</v>
      </c>
      <c r="E12" s="10">
        <v>286.66666666666663</v>
      </c>
      <c r="F12" s="11">
        <v>2866.6666666666661</v>
      </c>
      <c r="G12" s="10">
        <v>3818</v>
      </c>
      <c r="H12" s="11">
        <f t="shared" ref="H12:H16" si="3">G12-F12</f>
        <v>951.33333333333394</v>
      </c>
      <c r="I12" s="12">
        <f t="shared" si="1"/>
        <v>1.3318604651162793</v>
      </c>
    </row>
    <row r="13" spans="1:11" x14ac:dyDescent="0.25">
      <c r="A13" s="5"/>
      <c r="B13" s="5"/>
      <c r="C13" s="9" t="s">
        <v>17</v>
      </c>
      <c r="D13" s="10">
        <v>120794.94949494948</v>
      </c>
      <c r="E13" s="10">
        <v>4026.4983164983159</v>
      </c>
      <c r="F13" s="11">
        <v>40264.983164983161</v>
      </c>
      <c r="G13" s="10">
        <v>51107</v>
      </c>
      <c r="H13" s="11">
        <f t="shared" si="3"/>
        <v>10842.016835016839</v>
      </c>
      <c r="I13" s="12">
        <f t="shared" si="1"/>
        <v>1.2692666426952763</v>
      </c>
      <c r="K13" s="2"/>
    </row>
    <row r="14" spans="1:11" x14ac:dyDescent="0.25">
      <c r="A14" s="5"/>
      <c r="B14" s="5"/>
      <c r="C14" s="9" t="s">
        <v>18</v>
      </c>
      <c r="D14" s="10">
        <v>15199.999999999995</v>
      </c>
      <c r="E14" s="10">
        <v>506.66666666666646</v>
      </c>
      <c r="F14" s="11">
        <v>5066.6666666666642</v>
      </c>
      <c r="G14" s="10">
        <v>5775</v>
      </c>
      <c r="H14" s="11">
        <f t="shared" si="3"/>
        <v>708.33333333333576</v>
      </c>
      <c r="I14" s="12">
        <f t="shared" si="1"/>
        <v>1.139802631578948</v>
      </c>
      <c r="K14" s="2"/>
    </row>
    <row r="15" spans="1:11" x14ac:dyDescent="0.25">
      <c r="A15" s="5"/>
      <c r="B15" s="5"/>
      <c r="C15" s="9" t="s">
        <v>19</v>
      </c>
      <c r="D15" s="10">
        <v>8900.0000000000018</v>
      </c>
      <c r="E15" s="10">
        <v>296.66666666666674</v>
      </c>
      <c r="F15" s="11">
        <v>2966.6666666666674</v>
      </c>
      <c r="G15" s="10">
        <v>4224</v>
      </c>
      <c r="H15" s="11">
        <f t="shared" si="3"/>
        <v>1257.3333333333326</v>
      </c>
      <c r="I15" s="12">
        <f t="shared" si="1"/>
        <v>1.4238202247191007</v>
      </c>
      <c r="K15" s="2"/>
    </row>
    <row r="16" spans="1:11" x14ac:dyDescent="0.25">
      <c r="A16" s="5"/>
      <c r="B16" s="5"/>
      <c r="C16" s="9" t="s">
        <v>20</v>
      </c>
      <c r="D16" s="10">
        <v>3200</v>
      </c>
      <c r="E16" s="10">
        <v>106.66666666666667</v>
      </c>
      <c r="F16" s="11">
        <v>1066.6666666666667</v>
      </c>
      <c r="G16" s="10">
        <v>1323</v>
      </c>
      <c r="H16" s="11">
        <f t="shared" si="3"/>
        <v>256.33333333333326</v>
      </c>
      <c r="I16" s="12">
        <f t="shared" si="1"/>
        <v>1.2403124999999999</v>
      </c>
      <c r="K16" s="2"/>
    </row>
    <row r="17" spans="1:11" x14ac:dyDescent="0.25">
      <c r="A17" s="5"/>
      <c r="B17" s="6"/>
      <c r="C17" s="71" t="s">
        <v>21</v>
      </c>
      <c r="D17" s="54">
        <v>156694.94949494948</v>
      </c>
      <c r="E17" s="54">
        <v>5223.1649831649829</v>
      </c>
      <c r="F17" s="54">
        <v>52231.649831649833</v>
      </c>
      <c r="G17" s="54">
        <v>66247</v>
      </c>
      <c r="H17" s="54">
        <f t="shared" ref="H17" si="4">SUM(H12:H16)</f>
        <v>14015.350168350174</v>
      </c>
      <c r="I17" s="56">
        <f t="shared" si="1"/>
        <v>1.2683306044041049</v>
      </c>
      <c r="K17" s="2"/>
    </row>
    <row r="18" spans="1:11" x14ac:dyDescent="0.25">
      <c r="A18" s="5"/>
      <c r="B18" s="5" t="s">
        <v>23</v>
      </c>
      <c r="C18" s="9" t="s">
        <v>16</v>
      </c>
      <c r="D18" s="10">
        <v>8600</v>
      </c>
      <c r="E18" s="10">
        <f>D18/30</f>
        <v>286.66666666666669</v>
      </c>
      <c r="F18" s="11">
        <f ca="1">E18*$F$2</f>
        <v>3726.666666666667</v>
      </c>
      <c r="G18" s="10">
        <f>SUM('[1]Output_Jul''26'!$Q$49)</f>
        <v>3886</v>
      </c>
      <c r="H18" s="11">
        <f ca="1">G18-F18</f>
        <v>159.33333333333303</v>
      </c>
      <c r="I18" s="12">
        <f ca="1">G18/F18</f>
        <v>1.0427549194991055</v>
      </c>
      <c r="K18" s="2"/>
    </row>
    <row r="19" spans="1:11" x14ac:dyDescent="0.25">
      <c r="A19" s="5"/>
      <c r="B19" s="5"/>
      <c r="C19" s="9" t="s">
        <v>17</v>
      </c>
      <c r="D19" s="10">
        <v>120000</v>
      </c>
      <c r="E19" s="10">
        <f t="shared" ref="E19:E22" si="5">D19/30</f>
        <v>4000</v>
      </c>
      <c r="F19" s="11">
        <f t="shared" ref="F19:F22" ca="1" si="6">E19*$F$2</f>
        <v>52000</v>
      </c>
      <c r="G19" s="10">
        <f>SUM('[1]Output_Jul''26'!$Q$50:$Q$55)</f>
        <v>51374</v>
      </c>
      <c r="H19" s="11">
        <f t="shared" ref="H19:H23" ca="1" si="7">G19-F19</f>
        <v>-626</v>
      </c>
      <c r="I19" s="12">
        <f t="shared" ref="I19:I23" ca="1" si="8">G19/F19</f>
        <v>0.98796153846153845</v>
      </c>
    </row>
    <row r="20" spans="1:11" x14ac:dyDescent="0.25">
      <c r="A20" s="5"/>
      <c r="B20" s="5"/>
      <c r="C20" s="9" t="s">
        <v>18</v>
      </c>
      <c r="D20" s="10">
        <v>15200</v>
      </c>
      <c r="E20" s="10">
        <f t="shared" si="5"/>
        <v>506.66666666666669</v>
      </c>
      <c r="F20" s="11">
        <f t="shared" ca="1" si="6"/>
        <v>6586.666666666667</v>
      </c>
      <c r="G20" s="10">
        <f>SUM('[1]Output_Jul''26'!$Q$56:$Q$59,'[1]Output_Jul''26'!$Q$63)</f>
        <v>4956</v>
      </c>
      <c r="H20" s="11">
        <f t="shared" ca="1" si="7"/>
        <v>-1630.666666666667</v>
      </c>
      <c r="I20" s="12">
        <f t="shared" ca="1" si="8"/>
        <v>0.75242914979757081</v>
      </c>
    </row>
    <row r="21" spans="1:11" x14ac:dyDescent="0.25">
      <c r="A21" s="5"/>
      <c r="B21" s="5"/>
      <c r="C21" s="9" t="s">
        <v>19</v>
      </c>
      <c r="D21" s="10">
        <v>8900</v>
      </c>
      <c r="E21" s="10">
        <f t="shared" si="5"/>
        <v>296.66666666666669</v>
      </c>
      <c r="F21" s="11">
        <f t="shared" ca="1" si="6"/>
        <v>3856.666666666667</v>
      </c>
      <c r="G21" s="10">
        <f>SUM('[1]Output_Jul''26'!$Q$60:$Q$61)</f>
        <v>4005</v>
      </c>
      <c r="H21" s="11">
        <f t="shared" ca="1" si="7"/>
        <v>148.33333333333303</v>
      </c>
      <c r="I21" s="12">
        <f t="shared" ca="1" si="8"/>
        <v>1.0384615384615383</v>
      </c>
    </row>
    <row r="22" spans="1:11" x14ac:dyDescent="0.25">
      <c r="A22" s="5"/>
      <c r="B22" s="5"/>
      <c r="C22" s="9" t="s">
        <v>20</v>
      </c>
      <c r="D22" s="10">
        <v>3200</v>
      </c>
      <c r="E22" s="10">
        <f t="shared" si="5"/>
        <v>106.66666666666667</v>
      </c>
      <c r="F22" s="11">
        <f t="shared" ca="1" si="6"/>
        <v>1386.6666666666667</v>
      </c>
      <c r="G22" s="10">
        <f>'[1]Output_Jul''26'!$Q$62</f>
        <v>1140</v>
      </c>
      <c r="H22" s="11">
        <f t="shared" ca="1" si="7"/>
        <v>-246.66666666666674</v>
      </c>
      <c r="I22" s="12">
        <f t="shared" ca="1" si="8"/>
        <v>0.82211538461538458</v>
      </c>
    </row>
    <row r="23" spans="1:11" x14ac:dyDescent="0.25">
      <c r="A23" s="6"/>
      <c r="B23" s="5"/>
      <c r="C23" s="61" t="s">
        <v>21</v>
      </c>
      <c r="D23" s="54">
        <f>SUM(D18:D22)</f>
        <v>155900</v>
      </c>
      <c r="E23" s="55">
        <f>SUM(E18:E22)</f>
        <v>5196.6666666666679</v>
      </c>
      <c r="F23" s="55">
        <f ca="1">SUM(F18:F22)</f>
        <v>67556.666666666672</v>
      </c>
      <c r="G23" s="54">
        <f>SUM(G18:G22)</f>
        <v>65361</v>
      </c>
      <c r="H23" s="55">
        <f t="shared" ca="1" si="7"/>
        <v>-2195.6666666666715</v>
      </c>
      <c r="I23" s="56">
        <f t="shared" ca="1" si="8"/>
        <v>0.96749888982089105</v>
      </c>
      <c r="J23" s="69"/>
    </row>
    <row r="24" spans="1:11" x14ac:dyDescent="0.25">
      <c r="A24" s="57" t="s">
        <v>24</v>
      </c>
      <c r="B24" s="62" t="s">
        <v>25</v>
      </c>
      <c r="C24" s="37"/>
      <c r="D24" s="59">
        <v>800</v>
      </c>
      <c r="E24" s="68">
        <f>D24/30</f>
        <v>26.666666666666668</v>
      </c>
      <c r="F24" s="11">
        <f t="shared" ref="F24:F27" ca="1" si="9">E24*$F$2</f>
        <v>346.66666666666669</v>
      </c>
      <c r="G24" s="10">
        <v>437.25800000000004</v>
      </c>
      <c r="H24" s="11">
        <f ca="1">G24-F24</f>
        <v>90.591333333333353</v>
      </c>
      <c r="I24" s="12">
        <f ca="1">G24/F24</f>
        <v>1.261321153846154</v>
      </c>
    </row>
    <row r="25" spans="1:11" x14ac:dyDescent="0.25">
      <c r="A25" s="58"/>
      <c r="B25" s="62" t="s">
        <v>26</v>
      </c>
      <c r="C25" s="37"/>
      <c r="D25" s="59">
        <v>1550.0003480000005</v>
      </c>
      <c r="E25" s="68">
        <f t="shared" ref="E25:E27" si="10">D25/30</f>
        <v>51.666678266666686</v>
      </c>
      <c r="F25" s="11">
        <f t="shared" ca="1" si="9"/>
        <v>671.66681746666688</v>
      </c>
      <c r="G25" s="10">
        <v>838</v>
      </c>
      <c r="H25" s="11">
        <f t="shared" ref="H25:H27" ca="1" si="11">G25-F25</f>
        <v>166.33318253333312</v>
      </c>
      <c r="I25" s="12">
        <f t="shared" ref="I25:I27" ca="1" si="12">G25/F25</f>
        <v>1.247642399784902</v>
      </c>
    </row>
    <row r="26" spans="1:11" x14ac:dyDescent="0.25">
      <c r="A26" s="58"/>
      <c r="B26" s="62" t="s">
        <v>27</v>
      </c>
      <c r="C26" s="37"/>
      <c r="D26" s="59">
        <v>1200</v>
      </c>
      <c r="E26" s="68">
        <f t="shared" si="10"/>
        <v>40</v>
      </c>
      <c r="F26" s="11">
        <f t="shared" ca="1" si="9"/>
        <v>520</v>
      </c>
      <c r="G26" s="10">
        <v>792.2</v>
      </c>
      <c r="H26" s="11">
        <f t="shared" ca="1" si="11"/>
        <v>272.20000000000005</v>
      </c>
      <c r="I26" s="12">
        <f t="shared" ca="1" si="12"/>
        <v>1.5234615384615386</v>
      </c>
    </row>
    <row r="27" spans="1:11" x14ac:dyDescent="0.25">
      <c r="A27" s="51"/>
      <c r="B27" s="62" t="s">
        <v>28</v>
      </c>
      <c r="C27" s="37"/>
      <c r="D27" s="60">
        <f>SUM(D24:D26)</f>
        <v>3550.0003480000005</v>
      </c>
      <c r="E27" s="68">
        <f t="shared" si="10"/>
        <v>118.33334493333335</v>
      </c>
      <c r="F27" s="11">
        <f t="shared" ca="1" si="9"/>
        <v>1538.3334841333335</v>
      </c>
      <c r="G27" s="11">
        <f>SUM(G24:G26)</f>
        <v>2067.4580000000001</v>
      </c>
      <c r="H27" s="11">
        <f t="shared" ca="1" si="11"/>
        <v>529.12451586666657</v>
      </c>
      <c r="I27" s="12">
        <f t="shared" ca="1" si="12"/>
        <v>1.3439595648954914</v>
      </c>
    </row>
    <row r="28" spans="1:11" x14ac:dyDescent="0.25">
      <c r="I28" s="13"/>
    </row>
    <row r="29" spans="1:11" x14ac:dyDescent="0.25">
      <c r="I29" s="13"/>
    </row>
    <row r="30" spans="1:11" x14ac:dyDescent="0.25">
      <c r="I30" s="13"/>
    </row>
    <row r="31" spans="1:11" x14ac:dyDescent="0.25">
      <c r="B31" s="76" t="s">
        <v>29</v>
      </c>
      <c r="C31" s="76"/>
      <c r="I31" s="13"/>
    </row>
    <row r="32" spans="1:11" x14ac:dyDescent="0.25">
      <c r="A32" s="78"/>
      <c r="B32" s="78"/>
      <c r="C32" s="72" t="s">
        <v>4</v>
      </c>
      <c r="D32" s="73" t="s">
        <v>5</v>
      </c>
      <c r="E32" s="73" t="s">
        <v>6</v>
      </c>
      <c r="F32" s="73" t="s">
        <v>7</v>
      </c>
      <c r="G32" s="73" t="s">
        <v>8</v>
      </c>
      <c r="H32" s="73" t="s">
        <v>9</v>
      </c>
      <c r="I32" s="73" t="s">
        <v>10</v>
      </c>
    </row>
    <row r="33" spans="1:9" x14ac:dyDescent="0.25">
      <c r="A33" s="57" t="s">
        <v>11</v>
      </c>
      <c r="B33" s="79"/>
      <c r="C33" s="37" t="s">
        <v>30</v>
      </c>
      <c r="D33" s="10">
        <v>113208</v>
      </c>
      <c r="E33" s="53"/>
      <c r="F33" s="10">
        <f>SUM('[1]Ship_Jul''26'!$D$4:$Q$4)</f>
        <v>30112</v>
      </c>
      <c r="G33" s="10">
        <f>SUM('[1]Ship_Jul''26'!$D$9:$Q$9)</f>
        <v>35935</v>
      </c>
      <c r="H33" s="11">
        <f>G33-F33</f>
        <v>5823</v>
      </c>
      <c r="I33" s="12">
        <f t="shared" ref="I33:I40" si="13">G33/F33</f>
        <v>1.1933780552603612</v>
      </c>
    </row>
    <row r="34" spans="1:9" x14ac:dyDescent="0.25">
      <c r="A34" s="58"/>
      <c r="B34" s="80"/>
      <c r="C34" s="37" t="s">
        <v>31</v>
      </c>
      <c r="D34" s="10">
        <v>18057</v>
      </c>
      <c r="E34" s="53"/>
      <c r="F34" s="10">
        <f>SUM('[1]Ship_Jul''26'!$D$5:$Q$5)</f>
        <v>7959</v>
      </c>
      <c r="G34" s="10">
        <f>SUM('[1]Ship_Jul''26'!$D$10:$Q$10)</f>
        <v>8130</v>
      </c>
      <c r="H34" s="11">
        <f t="shared" ref="H34:H40" si="14">G34-F34</f>
        <v>171</v>
      </c>
      <c r="I34" s="12">
        <f t="shared" si="13"/>
        <v>1.0214851111948737</v>
      </c>
    </row>
    <row r="35" spans="1:9" x14ac:dyDescent="0.25">
      <c r="A35" s="58"/>
      <c r="B35" s="80"/>
      <c r="C35" s="37" t="s">
        <v>32</v>
      </c>
      <c r="D35" s="10">
        <v>3138</v>
      </c>
      <c r="E35" s="53"/>
      <c r="F35" s="10">
        <f>SUM('[1]Ship_Jul''26'!$D$6:$Q$6)</f>
        <v>1158</v>
      </c>
      <c r="G35" s="10">
        <f>SUM('[1]Ship_Jul''26'!$D$11:$Q$11)</f>
        <v>1266</v>
      </c>
      <c r="H35" s="11">
        <f t="shared" si="14"/>
        <v>108</v>
      </c>
      <c r="I35" s="12">
        <f t="shared" si="13"/>
        <v>1.0932642487046633</v>
      </c>
    </row>
    <row r="36" spans="1:9" x14ac:dyDescent="0.25">
      <c r="A36" s="51"/>
      <c r="B36" s="52"/>
      <c r="C36" s="77" t="s">
        <v>33</v>
      </c>
      <c r="D36" s="55">
        <f>SUM(D33:D35)</f>
        <v>134403</v>
      </c>
      <c r="E36" s="53"/>
      <c r="F36" s="55">
        <f>SUM(F33:F35)</f>
        <v>39229</v>
      </c>
      <c r="G36" s="55">
        <f>SUM(G33:G35)</f>
        <v>45331</v>
      </c>
      <c r="H36" s="55">
        <f t="shared" si="14"/>
        <v>6102</v>
      </c>
      <c r="I36" s="56">
        <f t="shared" si="13"/>
        <v>1.1555481913890233</v>
      </c>
    </row>
    <row r="37" spans="1:9" x14ac:dyDescent="0.25">
      <c r="A37" s="57" t="s">
        <v>24</v>
      </c>
      <c r="B37" s="79"/>
      <c r="C37" s="62" t="s">
        <v>25</v>
      </c>
      <c r="D37" s="10">
        <v>797.63</v>
      </c>
      <c r="E37" s="53"/>
      <c r="F37" s="10">
        <f>SUM('[1]Ship_Jul''26'!$D$16:$Q$16)</f>
        <v>337.26</v>
      </c>
      <c r="G37" s="10">
        <f>'[1]Ship_Jul''26'!$C$21</f>
        <v>470.66</v>
      </c>
      <c r="H37" s="11">
        <f t="shared" si="14"/>
        <v>133.40000000000003</v>
      </c>
      <c r="I37" s="12">
        <f t="shared" si="13"/>
        <v>1.395540532526834</v>
      </c>
    </row>
    <row r="38" spans="1:9" x14ac:dyDescent="0.25">
      <c r="A38" s="58"/>
      <c r="B38" s="80"/>
      <c r="C38" s="62" t="s">
        <v>26</v>
      </c>
      <c r="D38" s="10">
        <v>1552.4</v>
      </c>
      <c r="E38" s="53"/>
      <c r="F38" s="10">
        <f>SUM('[1]Ship_Jul''26'!$D$17:$Q$17)</f>
        <v>256.15000000000003</v>
      </c>
      <c r="G38" s="10">
        <f>'[1]Ship_Jul''26'!$C$22</f>
        <v>531.79999999999995</v>
      </c>
      <c r="H38" s="11">
        <f t="shared" si="14"/>
        <v>275.64999999999992</v>
      </c>
      <c r="I38" s="12">
        <f t="shared" si="13"/>
        <v>2.0761272691782153</v>
      </c>
    </row>
    <row r="39" spans="1:9" x14ac:dyDescent="0.25">
      <c r="A39" s="58"/>
      <c r="B39" s="80"/>
      <c r="C39" s="62" t="s">
        <v>27</v>
      </c>
      <c r="D39" s="10">
        <v>1185.3</v>
      </c>
      <c r="E39" s="53"/>
      <c r="F39" s="10">
        <f>SUM('[1]Ship_Jul''26'!$D$18:$Q$18)</f>
        <v>671</v>
      </c>
      <c r="G39" s="10">
        <f>'[1]Ship_Jul''26'!$C$23</f>
        <v>1006</v>
      </c>
      <c r="H39" s="11">
        <f t="shared" si="14"/>
        <v>335</v>
      </c>
      <c r="I39" s="12">
        <f t="shared" si="13"/>
        <v>1.4992548435171387</v>
      </c>
    </row>
    <row r="40" spans="1:9" x14ac:dyDescent="0.25">
      <c r="A40" s="51"/>
      <c r="B40" s="52"/>
      <c r="C40" s="77" t="s">
        <v>33</v>
      </c>
      <c r="D40" s="55">
        <f>SUM(D37:D39)</f>
        <v>3535.33</v>
      </c>
      <c r="E40" s="53"/>
      <c r="F40" s="55">
        <f>SUM(F37:F39)</f>
        <v>1264.4100000000001</v>
      </c>
      <c r="G40" s="55">
        <f>SUM(G37:G39)</f>
        <v>2008.46</v>
      </c>
      <c r="H40" s="55">
        <f t="shared" si="14"/>
        <v>744.05</v>
      </c>
      <c r="I40" s="56">
        <f t="shared" si="13"/>
        <v>1.588456276049699</v>
      </c>
    </row>
  </sheetData>
  <conditionalFormatting sqref="I4:I11">
    <cfRule type="iconSet" priority="3">
      <iconSet>
        <cfvo type="percent" val="0"/>
        <cfvo type="num" val="0.8"/>
        <cfvo type="num" val="0.98"/>
      </iconSet>
    </cfRule>
  </conditionalFormatting>
  <conditionalFormatting sqref="I12:I17">
    <cfRule type="iconSet" priority="2">
      <iconSet>
        <cfvo type="percent" val="0"/>
        <cfvo type="num" val="0.8"/>
        <cfvo type="num" val="0.98"/>
      </iconSet>
    </cfRule>
  </conditionalFormatting>
  <conditionalFormatting sqref="I18:I23">
    <cfRule type="iconSet" priority="5">
      <iconSet>
        <cfvo type="percent" val="0"/>
        <cfvo type="num" val="0.8"/>
        <cfvo type="num" val="0.98"/>
      </iconSet>
    </cfRule>
  </conditionalFormatting>
  <conditionalFormatting sqref="I24:I27">
    <cfRule type="iconSet" priority="16">
      <iconSet>
        <cfvo type="percent" val="0"/>
        <cfvo type="num" val="0.8"/>
        <cfvo type="num" val="0.98"/>
      </iconSet>
    </cfRule>
  </conditionalFormatting>
  <conditionalFormatting sqref="I28:I31">
    <cfRule type="iconSet" priority="14">
      <iconSet>
        <cfvo type="percent" val="0"/>
        <cfvo type="percent" val="80"/>
        <cfvo type="percent" val="98"/>
      </iconSet>
    </cfRule>
  </conditionalFormatting>
  <conditionalFormatting sqref="I33:I40">
    <cfRule type="iconSet" priority="1">
      <iconSet>
        <cfvo type="percent" val="0"/>
        <cfvo type="num" val="0.8"/>
        <cfvo type="num" val="0.98"/>
      </iconSet>
    </cfRule>
  </conditionalFormatting>
  <conditionalFormatting sqref="J18:J21">
    <cfRule type="iconSet" priority="15">
      <iconSet>
        <cfvo type="percent" val="0"/>
        <cfvo type="num" val="80"/>
        <cfvo type="num" val="90"/>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43DE7-89C0-4104-8210-EE24E4E9645B}">
  <dimension ref="A1:CY122"/>
  <sheetViews>
    <sheetView showGridLines="0" tabSelected="1" zoomScale="85" zoomScaleNormal="85" workbookViewId="0">
      <pane xSplit="6" ySplit="3" topLeftCell="G31" activePane="bottomRight" state="frozen"/>
      <selection pane="topRight" activeCell="G1" sqref="G1"/>
      <selection pane="bottomLeft" activeCell="A4" sqref="A4"/>
      <selection pane="bottomRight" activeCell="D36" sqref="D36:F36"/>
    </sheetView>
  </sheetViews>
  <sheetFormatPr defaultColWidth="8.54296875" defaultRowHeight="11.5" x14ac:dyDescent="0.25"/>
  <cols>
    <col min="1" max="1" width="8.54296875" style="1" bestFit="1" customWidth="1"/>
    <col min="2" max="2" width="11.453125" style="1" bestFit="1" customWidth="1"/>
    <col min="3" max="3" width="19.7265625" style="1" customWidth="1"/>
    <col min="4" max="4" width="12.453125" style="1" customWidth="1"/>
    <col min="5" max="5" width="15.54296875" style="1" customWidth="1"/>
    <col min="6" max="6" width="23" style="1" customWidth="1"/>
    <col min="7" max="7" width="9.54296875" style="1" bestFit="1" customWidth="1"/>
    <col min="8" max="8" width="9.453125" style="1" bestFit="1" customWidth="1"/>
    <col min="9" max="9" width="5" style="1" bestFit="1" customWidth="1"/>
    <col min="10" max="10" width="6.453125" style="1" bestFit="1" customWidth="1"/>
    <col min="11" max="11" width="9.54296875" style="1" bestFit="1" customWidth="1"/>
    <col min="12" max="12" width="5" style="1" bestFit="1" customWidth="1"/>
    <col min="13" max="13" width="6" style="1" bestFit="1" customWidth="1"/>
    <col min="14" max="14" width="9.453125" style="1" bestFit="1" customWidth="1"/>
    <col min="15" max="15" width="6.26953125" style="1" customWidth="1"/>
    <col min="16" max="16" width="8.26953125" style="1" bestFit="1" customWidth="1"/>
    <col min="17" max="17" width="9.453125" style="1" bestFit="1" customWidth="1"/>
    <col min="18" max="18" width="4.7265625" style="1" customWidth="1"/>
    <col min="19" max="19" width="6.453125" style="1" bestFit="1" customWidth="1"/>
    <col min="20" max="20" width="10.453125" style="1" bestFit="1" customWidth="1"/>
    <col min="21" max="21" width="6" style="1" bestFit="1" customWidth="1"/>
    <col min="22" max="22" width="6.453125" style="1" bestFit="1" customWidth="1"/>
    <col min="23" max="23" width="9.54296875" style="1" bestFit="1" customWidth="1"/>
    <col min="24" max="24" width="5" style="1" bestFit="1" customWidth="1"/>
    <col min="25" max="25" width="6.453125" style="1" bestFit="1" customWidth="1"/>
    <col min="26" max="26" width="9.54296875" style="1" bestFit="1" customWidth="1"/>
    <col min="27" max="27" width="5" style="1" bestFit="1" customWidth="1"/>
    <col min="28" max="28" width="6.453125" style="1" bestFit="1" customWidth="1"/>
    <col min="29" max="29" width="9.54296875" style="1" bestFit="1" customWidth="1"/>
    <col min="30" max="30" width="5" style="1" bestFit="1" customWidth="1"/>
    <col min="31" max="31" width="6.453125" style="1" bestFit="1" customWidth="1"/>
    <col min="32" max="32" width="9.54296875" style="1" bestFit="1" customWidth="1"/>
    <col min="33" max="33" width="5" style="1" bestFit="1" customWidth="1"/>
    <col min="34" max="34" width="7.1796875" style="1" customWidth="1"/>
    <col min="35" max="35" width="9.453125" style="1" bestFit="1" customWidth="1"/>
    <col min="36" max="36" width="4.54296875" style="1" customWidth="1"/>
    <col min="37" max="37" width="7.26953125" style="1" customWidth="1"/>
    <col min="38" max="38" width="9.453125" style="1" bestFit="1" customWidth="1"/>
    <col min="39" max="39" width="4.54296875" style="1" customWidth="1"/>
    <col min="40" max="40" width="6.453125" style="1" bestFit="1" customWidth="1"/>
    <col min="41" max="41" width="12.453125" style="1" bestFit="1" customWidth="1"/>
    <col min="42" max="42" width="6" style="1" bestFit="1" customWidth="1"/>
    <col min="43" max="43" width="6.453125" style="1" bestFit="1" customWidth="1"/>
    <col min="44" max="44" width="12.453125" style="1" bestFit="1" customWidth="1"/>
    <col min="45" max="45" width="6.54296875" style="1" bestFit="1" customWidth="1"/>
    <col min="46" max="46" width="6.453125" style="1" bestFit="1" customWidth="1"/>
    <col min="47" max="47" width="12.453125" style="1" bestFit="1" customWidth="1"/>
    <col min="48" max="48" width="6" style="1" bestFit="1" customWidth="1"/>
    <col min="49" max="49" width="6.453125" style="1" bestFit="1" customWidth="1"/>
    <col min="50" max="50" width="12.453125" style="1" bestFit="1" customWidth="1"/>
    <col min="51" max="51" width="6" style="1" bestFit="1" customWidth="1"/>
    <col min="52" max="52" width="6.453125" style="1" bestFit="1" customWidth="1"/>
    <col min="53" max="53" width="12.453125" style="1" bestFit="1" customWidth="1"/>
    <col min="54" max="54" width="6" style="1" bestFit="1" customWidth="1"/>
    <col min="55" max="55" width="5.54296875" style="1" bestFit="1" customWidth="1"/>
    <col min="56" max="56" width="12.453125" style="1" bestFit="1" customWidth="1"/>
    <col min="57" max="57" width="6" style="1" bestFit="1" customWidth="1"/>
    <col min="58" max="58" width="5.54296875" style="1" bestFit="1" customWidth="1"/>
    <col min="59" max="59" width="12.453125" style="1" bestFit="1" customWidth="1"/>
    <col min="60" max="60" width="6" style="1" bestFit="1" customWidth="1"/>
    <col min="61" max="61" width="5.54296875" style="1" bestFit="1" customWidth="1"/>
    <col min="62" max="62" width="12.453125" style="1" bestFit="1" customWidth="1"/>
    <col min="63" max="63" width="6" style="1" bestFit="1" customWidth="1"/>
    <col min="64" max="64" width="6.453125" style="1" bestFit="1" customWidth="1"/>
    <col min="65" max="65" width="12.453125" style="1" bestFit="1" customWidth="1"/>
    <col min="66" max="66" width="6" style="1" bestFit="1" customWidth="1"/>
    <col min="67" max="67" width="5.54296875" style="1" bestFit="1" customWidth="1"/>
    <col min="68" max="68" width="12.453125" style="1" bestFit="1" customWidth="1"/>
    <col min="69" max="69" width="7.453125" style="1" customWidth="1"/>
    <col min="70" max="70" width="6" style="1" bestFit="1" customWidth="1"/>
    <col min="71" max="71" width="12.453125" style="1" bestFit="1" customWidth="1"/>
    <col min="72" max="72" width="6" style="1" bestFit="1" customWidth="1"/>
    <col min="73" max="73" width="5.54296875" style="1" bestFit="1" customWidth="1"/>
    <col min="74" max="74" width="12.453125" style="1" bestFit="1" customWidth="1"/>
    <col min="75" max="75" width="6" style="1" bestFit="1" customWidth="1"/>
    <col min="76" max="76" width="5.54296875" style="1" bestFit="1" customWidth="1"/>
    <col min="77" max="77" width="12.453125" style="1" bestFit="1" customWidth="1"/>
    <col min="78" max="78" width="6" style="1" bestFit="1" customWidth="1"/>
    <col min="79" max="79" width="5.54296875" style="1" bestFit="1" customWidth="1"/>
    <col min="80" max="80" width="12.453125" style="1" bestFit="1" customWidth="1"/>
    <col min="81" max="81" width="6" style="1" bestFit="1" customWidth="1"/>
    <col min="82" max="82" width="5.54296875" style="1" bestFit="1" customWidth="1"/>
    <col min="83" max="83" width="12.453125" style="1" bestFit="1" customWidth="1"/>
    <col min="84" max="84" width="6" style="1" bestFit="1" customWidth="1"/>
    <col min="85" max="85" width="6.453125" style="1" bestFit="1" customWidth="1"/>
    <col min="86" max="86" width="12.453125" style="1" bestFit="1" customWidth="1"/>
    <col min="87" max="87" width="6" style="1" bestFit="1" customWidth="1"/>
    <col min="88" max="88" width="6.453125" style="1" bestFit="1" customWidth="1"/>
    <col min="89" max="89" width="12.453125" style="1" bestFit="1" customWidth="1"/>
    <col min="90" max="90" width="6" style="1" bestFit="1" customWidth="1"/>
    <col min="91" max="91" width="5.7265625" style="1" bestFit="1" customWidth="1"/>
    <col min="92" max="92" width="12.453125" style="1" bestFit="1" customWidth="1"/>
    <col min="93" max="94" width="6" style="1" bestFit="1" customWidth="1"/>
    <col min="95" max="95" width="12.453125" style="1" bestFit="1" customWidth="1"/>
    <col min="96" max="97" width="6" style="1" bestFit="1" customWidth="1"/>
    <col min="98" max="98" width="12.453125" style="1" bestFit="1" customWidth="1"/>
    <col min="99" max="99" width="6" style="1" bestFit="1" customWidth="1"/>
    <col min="100" max="100" width="7.453125" style="1" bestFit="1" customWidth="1"/>
    <col min="101" max="101" width="11.54296875" style="1" bestFit="1" customWidth="1"/>
    <col min="102" max="102" width="6.7265625" style="1" bestFit="1" customWidth="1"/>
    <col min="103" max="103" width="12.453125" style="1" bestFit="1" customWidth="1"/>
    <col min="104" max="16384" width="8.54296875" style="1"/>
  </cols>
  <sheetData>
    <row r="1" spans="1:103" x14ac:dyDescent="0.25">
      <c r="A1" s="113">
        <f ca="1">TODAY()-1</f>
        <v>46247</v>
      </c>
      <c r="AQ1" s="1" t="s">
        <v>2</v>
      </c>
    </row>
    <row r="2" spans="1:103" ht="12" thickBot="1" x14ac:dyDescent="0.3">
      <c r="D2" s="66" t="s">
        <v>34</v>
      </c>
      <c r="E2" s="66"/>
      <c r="F2" s="66"/>
      <c r="G2" s="16">
        <v>46235</v>
      </c>
      <c r="H2" s="17"/>
      <c r="I2" s="18"/>
      <c r="J2" s="16">
        <v>46236</v>
      </c>
      <c r="K2" s="17"/>
      <c r="L2" s="18"/>
      <c r="M2" s="16">
        <v>46237</v>
      </c>
      <c r="N2" s="17"/>
      <c r="O2" s="18"/>
      <c r="P2" s="16">
        <v>46238</v>
      </c>
      <c r="Q2" s="17"/>
      <c r="R2" s="18"/>
      <c r="S2" s="16">
        <v>46239</v>
      </c>
      <c r="T2" s="17"/>
      <c r="U2" s="18"/>
      <c r="V2" s="16">
        <v>46240</v>
      </c>
      <c r="W2" s="17"/>
      <c r="X2" s="18"/>
      <c r="Y2" s="16">
        <v>46241</v>
      </c>
      <c r="Z2" s="17"/>
      <c r="AA2" s="18"/>
      <c r="AB2" s="16">
        <v>46242</v>
      </c>
      <c r="AC2" s="17"/>
      <c r="AD2" s="18"/>
      <c r="AE2" s="16">
        <v>46243</v>
      </c>
      <c r="AF2" s="17"/>
      <c r="AG2" s="18"/>
      <c r="AH2" s="254">
        <v>46244</v>
      </c>
      <c r="AI2" s="255"/>
      <c r="AJ2" s="256"/>
      <c r="AK2" s="254">
        <v>46245</v>
      </c>
      <c r="AL2" s="255"/>
      <c r="AM2" s="256"/>
      <c r="AN2" s="16">
        <v>46246</v>
      </c>
      <c r="AO2" s="17"/>
      <c r="AP2" s="18"/>
      <c r="AQ2" s="16">
        <v>46247</v>
      </c>
      <c r="AR2" s="17"/>
      <c r="AS2" s="18"/>
      <c r="AT2" s="16">
        <v>46248</v>
      </c>
      <c r="AU2" s="17"/>
      <c r="AV2" s="18"/>
      <c r="AW2" s="16">
        <v>46249</v>
      </c>
      <c r="AX2" s="17"/>
      <c r="AY2" s="18"/>
      <c r="AZ2" s="16">
        <v>46250</v>
      </c>
      <c r="BA2" s="17"/>
      <c r="BB2" s="18"/>
      <c r="BC2" s="63">
        <v>46252</v>
      </c>
      <c r="BD2" s="64"/>
      <c r="BE2" s="65"/>
      <c r="BF2" s="63">
        <v>46252</v>
      </c>
      <c r="BG2" s="64"/>
      <c r="BH2" s="65"/>
      <c r="BI2" s="16">
        <v>46253</v>
      </c>
      <c r="BJ2" s="17"/>
      <c r="BK2" s="18"/>
      <c r="BL2" s="16">
        <v>46254</v>
      </c>
      <c r="BM2" s="17"/>
      <c r="BN2" s="18"/>
      <c r="BO2" s="16">
        <v>46255</v>
      </c>
      <c r="BP2" s="17"/>
      <c r="BQ2" s="18"/>
      <c r="BR2" s="16">
        <v>46256</v>
      </c>
      <c r="BS2" s="17"/>
      <c r="BT2" s="18"/>
      <c r="BU2" s="16">
        <v>46257</v>
      </c>
      <c r="BV2" s="17"/>
      <c r="BW2" s="18"/>
      <c r="BX2" s="16">
        <v>46258</v>
      </c>
      <c r="BY2" s="17"/>
      <c r="BZ2" s="18"/>
      <c r="CA2" s="16">
        <v>46259</v>
      </c>
      <c r="CB2" s="17"/>
      <c r="CC2" s="18"/>
      <c r="CD2" s="16">
        <v>46260</v>
      </c>
      <c r="CE2" s="17"/>
      <c r="CF2" s="18"/>
      <c r="CG2" s="16">
        <v>46262</v>
      </c>
      <c r="CH2" s="17"/>
      <c r="CI2" s="18"/>
      <c r="CJ2" s="16">
        <v>46262</v>
      </c>
      <c r="CK2" s="17"/>
      <c r="CL2" s="18"/>
      <c r="CM2" s="16">
        <v>46263</v>
      </c>
      <c r="CN2" s="17"/>
      <c r="CO2" s="18"/>
      <c r="CP2" s="16">
        <v>46264</v>
      </c>
      <c r="CQ2" s="17"/>
      <c r="CR2" s="18"/>
      <c r="CS2" s="16">
        <v>46265</v>
      </c>
      <c r="CT2" s="17"/>
      <c r="CU2" s="18"/>
      <c r="CV2" s="16" t="s">
        <v>8</v>
      </c>
      <c r="CW2" s="17"/>
      <c r="CX2" s="18"/>
    </row>
    <row r="3" spans="1:103" ht="12" thickBot="1" x14ac:dyDescent="0.3">
      <c r="A3" s="33"/>
      <c r="B3" s="135" t="s">
        <v>35</v>
      </c>
      <c r="C3" s="136" t="s">
        <v>36</v>
      </c>
      <c r="D3" s="137" t="s">
        <v>37</v>
      </c>
      <c r="E3" s="137" t="s">
        <v>38</v>
      </c>
      <c r="F3" s="137" t="s">
        <v>39</v>
      </c>
      <c r="G3" s="138" t="s">
        <v>37</v>
      </c>
      <c r="H3" s="138" t="s">
        <v>38</v>
      </c>
      <c r="I3" s="138" t="s">
        <v>39</v>
      </c>
      <c r="J3" s="138" t="s">
        <v>37</v>
      </c>
      <c r="K3" s="138" t="s">
        <v>38</v>
      </c>
      <c r="L3" s="138" t="s">
        <v>39</v>
      </c>
      <c r="M3" s="138" t="s">
        <v>37</v>
      </c>
      <c r="N3" s="138" t="s">
        <v>38</v>
      </c>
      <c r="O3" s="138" t="s">
        <v>39</v>
      </c>
      <c r="P3" s="138" t="s">
        <v>37</v>
      </c>
      <c r="Q3" s="138" t="s">
        <v>38</v>
      </c>
      <c r="R3" s="138" t="s">
        <v>39</v>
      </c>
      <c r="S3" s="138" t="s">
        <v>37</v>
      </c>
      <c r="T3" s="138" t="s">
        <v>38</v>
      </c>
      <c r="U3" s="138" t="s">
        <v>39</v>
      </c>
      <c r="V3" s="138" t="s">
        <v>37</v>
      </c>
      <c r="W3" s="138" t="s">
        <v>38</v>
      </c>
      <c r="X3" s="138" t="s">
        <v>39</v>
      </c>
      <c r="Y3" s="138" t="s">
        <v>37</v>
      </c>
      <c r="Z3" s="138" t="s">
        <v>38</v>
      </c>
      <c r="AA3" s="138" t="s">
        <v>39</v>
      </c>
      <c r="AB3" s="138" t="s">
        <v>37</v>
      </c>
      <c r="AC3" s="138" t="s">
        <v>38</v>
      </c>
      <c r="AD3" s="138" t="s">
        <v>39</v>
      </c>
      <c r="AE3" s="138" t="s">
        <v>37</v>
      </c>
      <c r="AF3" s="138" t="s">
        <v>38</v>
      </c>
      <c r="AG3" s="138" t="s">
        <v>39</v>
      </c>
      <c r="AH3" s="138" t="s">
        <v>37</v>
      </c>
      <c r="AI3" s="138" t="s">
        <v>38</v>
      </c>
      <c r="AJ3" s="138" t="s">
        <v>39</v>
      </c>
      <c r="AK3" s="138" t="s">
        <v>37</v>
      </c>
      <c r="AL3" s="138" t="s">
        <v>38</v>
      </c>
      <c r="AM3" s="138" t="s">
        <v>39</v>
      </c>
      <c r="AN3" s="138" t="s">
        <v>37</v>
      </c>
      <c r="AO3" s="138" t="s">
        <v>38</v>
      </c>
      <c r="AP3" s="138" t="s">
        <v>39</v>
      </c>
      <c r="AQ3" s="138" t="s">
        <v>37</v>
      </c>
      <c r="AR3" s="138" t="s">
        <v>38</v>
      </c>
      <c r="AS3" s="138" t="s">
        <v>39</v>
      </c>
      <c r="AT3" s="138" t="s">
        <v>37</v>
      </c>
      <c r="AU3" s="138" t="s">
        <v>38</v>
      </c>
      <c r="AV3" s="138" t="s">
        <v>39</v>
      </c>
      <c r="AW3" s="138" t="s">
        <v>37</v>
      </c>
      <c r="AX3" s="138" t="s">
        <v>38</v>
      </c>
      <c r="AY3" s="138" t="s">
        <v>39</v>
      </c>
      <c r="AZ3" s="138" t="s">
        <v>37</v>
      </c>
      <c r="BA3" s="138" t="s">
        <v>38</v>
      </c>
      <c r="BB3" s="138" t="s">
        <v>39</v>
      </c>
      <c r="BC3" s="138" t="s">
        <v>37</v>
      </c>
      <c r="BD3" s="138" t="s">
        <v>38</v>
      </c>
      <c r="BE3" s="138" t="s">
        <v>39</v>
      </c>
      <c r="BF3" s="138" t="s">
        <v>37</v>
      </c>
      <c r="BG3" s="138" t="s">
        <v>38</v>
      </c>
      <c r="BH3" s="138" t="s">
        <v>39</v>
      </c>
      <c r="BI3" s="138" t="s">
        <v>37</v>
      </c>
      <c r="BJ3" s="138" t="s">
        <v>38</v>
      </c>
      <c r="BK3" s="138" t="s">
        <v>39</v>
      </c>
      <c r="BL3" s="138" t="s">
        <v>37</v>
      </c>
      <c r="BM3" s="138" t="s">
        <v>38</v>
      </c>
      <c r="BN3" s="138" t="s">
        <v>39</v>
      </c>
      <c r="BO3" s="138" t="s">
        <v>37</v>
      </c>
      <c r="BP3" s="138" t="s">
        <v>38</v>
      </c>
      <c r="BQ3" s="138" t="s">
        <v>39</v>
      </c>
      <c r="BR3" s="138" t="s">
        <v>37</v>
      </c>
      <c r="BS3" s="138" t="s">
        <v>38</v>
      </c>
      <c r="BT3" s="138" t="s">
        <v>39</v>
      </c>
      <c r="BU3" s="138" t="s">
        <v>37</v>
      </c>
      <c r="BV3" s="138" t="s">
        <v>38</v>
      </c>
      <c r="BW3" s="138" t="s">
        <v>39</v>
      </c>
      <c r="BX3" s="138" t="s">
        <v>37</v>
      </c>
      <c r="BY3" s="138" t="s">
        <v>38</v>
      </c>
      <c r="BZ3" s="138" t="s">
        <v>39</v>
      </c>
      <c r="CA3" s="138" t="s">
        <v>37</v>
      </c>
      <c r="CB3" s="138" t="s">
        <v>38</v>
      </c>
      <c r="CC3" s="138" t="s">
        <v>39</v>
      </c>
      <c r="CD3" s="138" t="s">
        <v>37</v>
      </c>
      <c r="CE3" s="138" t="s">
        <v>38</v>
      </c>
      <c r="CF3" s="138" t="s">
        <v>39</v>
      </c>
      <c r="CG3" s="138" t="s">
        <v>37</v>
      </c>
      <c r="CH3" s="138" t="s">
        <v>38</v>
      </c>
      <c r="CI3" s="138" t="s">
        <v>39</v>
      </c>
      <c r="CJ3" s="138" t="s">
        <v>37</v>
      </c>
      <c r="CK3" s="138" t="s">
        <v>38</v>
      </c>
      <c r="CL3" s="138" t="s">
        <v>39</v>
      </c>
      <c r="CM3" s="138" t="s">
        <v>37</v>
      </c>
      <c r="CN3" s="138" t="s">
        <v>38</v>
      </c>
      <c r="CO3" s="138" t="s">
        <v>39</v>
      </c>
      <c r="CP3" s="138" t="s">
        <v>37</v>
      </c>
      <c r="CQ3" s="138" t="s">
        <v>38</v>
      </c>
      <c r="CR3" s="138" t="s">
        <v>39</v>
      </c>
      <c r="CS3" s="138" t="s">
        <v>37</v>
      </c>
      <c r="CT3" s="138" t="s">
        <v>38</v>
      </c>
      <c r="CU3" s="138" t="s">
        <v>39</v>
      </c>
      <c r="CV3" s="138" t="s">
        <v>37</v>
      </c>
      <c r="CW3" s="138" t="s">
        <v>38</v>
      </c>
      <c r="CX3" s="138" t="s">
        <v>39</v>
      </c>
      <c r="CY3" s="1" t="s">
        <v>40</v>
      </c>
    </row>
    <row r="4" spans="1:103" ht="12" thickBot="1" x14ac:dyDescent="0.3">
      <c r="A4" s="133" t="s">
        <v>11</v>
      </c>
      <c r="B4" s="45" t="s">
        <v>41</v>
      </c>
      <c r="C4" s="46" t="s">
        <v>42</v>
      </c>
      <c r="D4" s="204">
        <v>92.8</v>
      </c>
      <c r="E4" s="205">
        <v>5100</v>
      </c>
      <c r="F4" s="206">
        <v>320</v>
      </c>
      <c r="G4" s="43">
        <v>92.112186908019368</v>
      </c>
      <c r="H4" s="42">
        <v>175.05</v>
      </c>
      <c r="I4" s="40">
        <v>10</v>
      </c>
      <c r="J4" s="43">
        <v>87.36822598522383</v>
      </c>
      <c r="K4" s="42">
        <v>249.874</v>
      </c>
      <c r="L4" s="40">
        <v>15</v>
      </c>
      <c r="M4" s="43">
        <v>87.33</v>
      </c>
      <c r="N4" s="42">
        <v>227.381</v>
      </c>
      <c r="O4" s="40">
        <v>12</v>
      </c>
      <c r="P4" s="43">
        <v>89.09</v>
      </c>
      <c r="Q4" s="42">
        <v>284.50400000000002</v>
      </c>
      <c r="R4" s="40">
        <v>15</v>
      </c>
      <c r="S4" s="43">
        <v>85.68</v>
      </c>
      <c r="T4" s="42">
        <v>248.55199999999999</v>
      </c>
      <c r="U4" s="42">
        <v>13</v>
      </c>
      <c r="V4" s="43">
        <v>87.38</v>
      </c>
      <c r="W4" s="42">
        <v>285.33300000000003</v>
      </c>
      <c r="X4" s="42">
        <v>15</v>
      </c>
      <c r="Y4" s="43">
        <v>87.19</v>
      </c>
      <c r="Z4" s="42">
        <v>229.84100000000001</v>
      </c>
      <c r="AA4" s="42">
        <v>12</v>
      </c>
      <c r="AB4" s="43">
        <v>91.68</v>
      </c>
      <c r="AC4" s="42">
        <v>266.27999999999997</v>
      </c>
      <c r="AD4" s="42">
        <v>14</v>
      </c>
      <c r="AE4" s="43">
        <v>89.85</v>
      </c>
      <c r="AF4" s="42">
        <v>247.309</v>
      </c>
      <c r="AG4" s="42">
        <v>13</v>
      </c>
      <c r="AH4" s="43">
        <v>88.34</v>
      </c>
      <c r="AI4" s="42">
        <v>247.41</v>
      </c>
      <c r="AJ4" s="42">
        <v>13</v>
      </c>
      <c r="AK4" s="43">
        <v>89.89</v>
      </c>
      <c r="AL4" s="42">
        <v>228.22300000000001</v>
      </c>
      <c r="AM4" s="42">
        <v>12</v>
      </c>
      <c r="AN4" s="43">
        <v>89.25</v>
      </c>
      <c r="AO4" s="42">
        <v>248.10900000000001</v>
      </c>
      <c r="AP4" s="42">
        <v>13</v>
      </c>
      <c r="AQ4" s="43"/>
      <c r="AR4" s="42"/>
      <c r="AS4" s="42"/>
      <c r="AT4" s="43"/>
      <c r="AU4" s="42"/>
      <c r="AV4" s="42"/>
      <c r="AW4" s="43"/>
      <c r="AX4" s="42"/>
      <c r="AY4" s="42"/>
      <c r="AZ4" s="43"/>
      <c r="BA4" s="42"/>
      <c r="BB4" s="42"/>
      <c r="BC4" s="43"/>
      <c r="BD4" s="42"/>
      <c r="BE4" s="42"/>
      <c r="BF4" s="43"/>
      <c r="BG4" s="42"/>
      <c r="BH4" s="42"/>
      <c r="BI4" s="43"/>
      <c r="BJ4" s="42"/>
      <c r="BK4" s="42"/>
      <c r="BL4" s="43"/>
      <c r="BM4" s="42"/>
      <c r="BN4" s="42"/>
      <c r="BO4" s="43"/>
      <c r="BP4" s="42"/>
      <c r="BQ4" s="42"/>
      <c r="BR4" s="43"/>
      <c r="BS4" s="42"/>
      <c r="BT4" s="42"/>
      <c r="BU4" s="43"/>
      <c r="BV4" s="42"/>
      <c r="BW4" s="42"/>
      <c r="BX4" s="43"/>
      <c r="BY4" s="42"/>
      <c r="BZ4" s="42"/>
      <c r="CA4" s="43"/>
      <c r="CB4" s="42"/>
      <c r="CC4" s="42"/>
      <c r="CD4" s="43"/>
      <c r="CE4" s="42"/>
      <c r="CF4" s="42"/>
      <c r="CG4" s="43"/>
      <c r="CH4" s="42"/>
      <c r="CI4" s="42"/>
      <c r="CJ4" s="43"/>
      <c r="CK4" s="42"/>
      <c r="CL4" s="42"/>
      <c r="CM4" s="43"/>
      <c r="CN4" s="42"/>
      <c r="CO4" s="42"/>
      <c r="CP4" s="43"/>
      <c r="CQ4" s="42"/>
      <c r="CR4" s="42"/>
      <c r="CS4" s="43"/>
      <c r="CT4" s="42"/>
      <c r="CU4" s="42"/>
      <c r="CV4" s="43">
        <v>88.7</v>
      </c>
      <c r="CW4" s="42">
        <f>+H4+K4+N4+Q4+T4+W4+Z4+AC4+AF4+AI4+AL4+AO4</f>
        <v>2937.8659999999995</v>
      </c>
      <c r="CX4" s="125">
        <f>I4+L4+O4+R4+U4+X4+AD4+AG4+AJ4+AM4+AP4</f>
        <v>145</v>
      </c>
      <c r="CY4" s="74">
        <f>CV4-D4</f>
        <v>-4.0999999999999943</v>
      </c>
    </row>
    <row r="5" spans="1:103" ht="12" thickBot="1" x14ac:dyDescent="0.3">
      <c r="A5" s="134" t="s">
        <v>43</v>
      </c>
      <c r="B5" s="49" t="s">
        <v>41</v>
      </c>
      <c r="C5" s="50" t="s">
        <v>44</v>
      </c>
      <c r="D5" s="207">
        <v>93.6</v>
      </c>
      <c r="E5" s="208">
        <v>2400</v>
      </c>
      <c r="F5" s="209">
        <v>140.27409558276872</v>
      </c>
      <c r="G5" s="164">
        <v>94.660013801157177</v>
      </c>
      <c r="H5" s="10">
        <v>89.165000000000006</v>
      </c>
      <c r="I5" s="10">
        <v>5</v>
      </c>
      <c r="J5" s="164">
        <v>92.533727591942338</v>
      </c>
      <c r="K5" s="10">
        <v>105.14700000000001</v>
      </c>
      <c r="L5" s="10">
        <v>6</v>
      </c>
      <c r="M5" s="164">
        <v>94.96</v>
      </c>
      <c r="N5" s="10">
        <v>76.204999999999998</v>
      </c>
      <c r="O5" s="10">
        <v>4</v>
      </c>
      <c r="P5" s="164">
        <v>94.22</v>
      </c>
      <c r="Q5" s="10">
        <v>75.766000000000005</v>
      </c>
      <c r="R5" s="10">
        <v>4</v>
      </c>
      <c r="S5" s="164">
        <v>93.42</v>
      </c>
      <c r="T5" s="10">
        <v>112.52</v>
      </c>
      <c r="U5" s="10">
        <v>6</v>
      </c>
      <c r="V5" s="164">
        <v>90.78</v>
      </c>
      <c r="W5" s="10">
        <v>95.24</v>
      </c>
      <c r="X5" s="10">
        <v>5</v>
      </c>
      <c r="Y5" s="164">
        <v>94.46</v>
      </c>
      <c r="Z5" s="10">
        <v>76.491</v>
      </c>
      <c r="AA5" s="10">
        <v>4</v>
      </c>
      <c r="AB5" s="164">
        <v>94.54</v>
      </c>
      <c r="AC5" s="10">
        <v>133.36000000000001</v>
      </c>
      <c r="AD5" s="10">
        <v>7</v>
      </c>
      <c r="AE5" s="164">
        <v>93.39</v>
      </c>
      <c r="AF5" s="10">
        <v>151.13900000000001</v>
      </c>
      <c r="AG5" s="10">
        <v>8</v>
      </c>
      <c r="AH5" s="164">
        <v>94.01</v>
      </c>
      <c r="AI5" s="10">
        <v>75.516999999999996</v>
      </c>
      <c r="AJ5" s="10">
        <v>4</v>
      </c>
      <c r="AK5" s="164">
        <v>94.13</v>
      </c>
      <c r="AL5" s="10">
        <v>132.62200000000001</v>
      </c>
      <c r="AM5" s="10">
        <v>7</v>
      </c>
      <c r="AN5" s="164">
        <v>94.52</v>
      </c>
      <c r="AO5" s="10">
        <v>75.352000000000004</v>
      </c>
      <c r="AP5" s="10">
        <v>4</v>
      </c>
      <c r="AQ5" s="164"/>
      <c r="AR5" s="10"/>
      <c r="AS5" s="10"/>
      <c r="AT5" s="164"/>
      <c r="AU5" s="10"/>
      <c r="AV5" s="10"/>
      <c r="AW5" s="164"/>
      <c r="AX5" s="10"/>
      <c r="AY5" s="10"/>
      <c r="AZ5" s="164"/>
      <c r="BA5" s="10"/>
      <c r="BB5" s="10"/>
      <c r="BC5" s="164"/>
      <c r="BD5" s="10"/>
      <c r="BE5" s="10"/>
      <c r="BF5" s="164"/>
      <c r="BG5" s="10"/>
      <c r="BH5" s="10"/>
      <c r="BI5" s="164"/>
      <c r="BJ5" s="10"/>
      <c r="BK5" s="10"/>
      <c r="BL5" s="164"/>
      <c r="BM5" s="10"/>
      <c r="BN5" s="10"/>
      <c r="BO5" s="164"/>
      <c r="BP5" s="10"/>
      <c r="BQ5" s="10"/>
      <c r="BR5" s="164"/>
      <c r="BS5" s="10"/>
      <c r="BT5" s="10"/>
      <c r="BU5" s="164"/>
      <c r="BV5" s="10"/>
      <c r="BW5" s="10"/>
      <c r="BX5" s="164"/>
      <c r="BY5" s="10"/>
      <c r="BZ5" s="10"/>
      <c r="CA5" s="164"/>
      <c r="CB5" s="10"/>
      <c r="CC5" s="10"/>
      <c r="CD5" s="164"/>
      <c r="CE5" s="10"/>
      <c r="CF5" s="10"/>
      <c r="CG5" s="164"/>
      <c r="CH5" s="10"/>
      <c r="CI5" s="10"/>
      <c r="CJ5" s="164"/>
      <c r="CK5" s="10"/>
      <c r="CL5" s="10"/>
      <c r="CM5" s="164"/>
      <c r="CN5" s="10"/>
      <c r="CO5" s="10"/>
      <c r="CP5" s="164"/>
      <c r="CQ5" s="10"/>
      <c r="CR5" s="10"/>
      <c r="CS5" s="164"/>
      <c r="CT5" s="10"/>
      <c r="CU5" s="10"/>
      <c r="CV5" s="164">
        <v>93.75</v>
      </c>
      <c r="CW5" s="42">
        <f>+H5+K5+N5+Q5+T5+W5+Z5+AC5+AF5+AI5+AL5+AO5</f>
        <v>1198.5240000000001</v>
      </c>
      <c r="CX5" s="125">
        <f>I5+L5+O5+R5+U5+X5+AD5+AG5+AJ5+AM5+AP5</f>
        <v>60</v>
      </c>
      <c r="CY5" s="74">
        <f>CV5-D5</f>
        <v>0.15000000000000568</v>
      </c>
    </row>
    <row r="6" spans="1:103" x14ac:dyDescent="0.25">
      <c r="A6" s="134"/>
      <c r="B6" s="49" t="s">
        <v>41</v>
      </c>
      <c r="C6" s="50" t="s">
        <v>45</v>
      </c>
      <c r="D6" s="207">
        <v>90</v>
      </c>
      <c r="E6" s="208">
        <v>7500</v>
      </c>
      <c r="F6" s="209">
        <v>850</v>
      </c>
      <c r="G6" s="164">
        <v>93.600953895071541</v>
      </c>
      <c r="H6" s="10">
        <v>277.89</v>
      </c>
      <c r="I6" s="10">
        <v>26</v>
      </c>
      <c r="J6" s="164">
        <v>94.576956882954249</v>
      </c>
      <c r="K6" s="10">
        <v>235.64699999999999</v>
      </c>
      <c r="L6" s="10">
        <v>22</v>
      </c>
      <c r="M6" s="164">
        <v>94.13</v>
      </c>
      <c r="N6" s="10">
        <v>237.08</v>
      </c>
      <c r="O6" s="10">
        <v>21</v>
      </c>
      <c r="P6" s="164">
        <v>94.45</v>
      </c>
      <c r="Q6" s="10">
        <v>282.62400000000002</v>
      </c>
      <c r="R6" s="10">
        <v>25</v>
      </c>
      <c r="S6" s="164">
        <v>93.86</v>
      </c>
      <c r="T6" s="10">
        <v>328.87900000000002</v>
      </c>
      <c r="U6" s="10">
        <v>29</v>
      </c>
      <c r="V6" s="164">
        <v>93.26</v>
      </c>
      <c r="W6" s="10">
        <v>306.84399999999999</v>
      </c>
      <c r="X6" s="10">
        <v>27</v>
      </c>
      <c r="Y6" s="164">
        <v>92.68</v>
      </c>
      <c r="Z6" s="10">
        <v>272.08</v>
      </c>
      <c r="AA6" s="10">
        <v>24</v>
      </c>
      <c r="AB6" s="164">
        <v>93.05</v>
      </c>
      <c r="AC6" s="10">
        <v>288.33600000000001</v>
      </c>
      <c r="AD6" s="10">
        <v>26</v>
      </c>
      <c r="AE6" s="164">
        <v>94.01</v>
      </c>
      <c r="AF6" s="10">
        <v>328.79899999999998</v>
      </c>
      <c r="AG6" s="10">
        <v>29</v>
      </c>
      <c r="AH6" s="164">
        <v>92.5</v>
      </c>
      <c r="AI6" s="10">
        <v>267.8</v>
      </c>
      <c r="AJ6" s="10">
        <v>24</v>
      </c>
      <c r="AK6" s="164">
        <v>93.21</v>
      </c>
      <c r="AL6" s="10">
        <v>273.92599999999999</v>
      </c>
      <c r="AM6" s="10">
        <v>24</v>
      </c>
      <c r="AN6" s="164">
        <v>93.63</v>
      </c>
      <c r="AO6" s="10">
        <v>271.57499999999999</v>
      </c>
      <c r="AP6" s="10">
        <v>24</v>
      </c>
      <c r="AQ6" s="164"/>
      <c r="AR6" s="10"/>
      <c r="AS6" s="10"/>
      <c r="AT6" s="164"/>
      <c r="AU6" s="10"/>
      <c r="AV6" s="10"/>
      <c r="AW6" s="164"/>
      <c r="AX6" s="10"/>
      <c r="AY6" s="10"/>
      <c r="AZ6" s="164"/>
      <c r="BA6" s="10"/>
      <c r="BB6" s="10"/>
      <c r="BC6" s="164"/>
      <c r="BD6" s="10"/>
      <c r="BE6" s="10"/>
      <c r="BF6" s="164"/>
      <c r="BG6" s="10"/>
      <c r="BH6" s="10"/>
      <c r="BI6" s="164"/>
      <c r="BJ6" s="10"/>
      <c r="BK6" s="10"/>
      <c r="BL6" s="164"/>
      <c r="BM6" s="10"/>
      <c r="BN6" s="10"/>
      <c r="BO6" s="164"/>
      <c r="BP6" s="10"/>
      <c r="BQ6" s="10"/>
      <c r="BR6" s="164"/>
      <c r="BS6" s="10"/>
      <c r="BT6" s="10"/>
      <c r="BU6" s="164"/>
      <c r="BV6" s="10"/>
      <c r="BW6" s="10"/>
      <c r="BX6" s="164"/>
      <c r="BY6" s="10"/>
      <c r="BZ6" s="10"/>
      <c r="CA6" s="164"/>
      <c r="CB6" s="10"/>
      <c r="CC6" s="10"/>
      <c r="CD6" s="164"/>
      <c r="CE6" s="10"/>
      <c r="CF6" s="10"/>
      <c r="CG6" s="164"/>
      <c r="CH6" s="10"/>
      <c r="CI6" s="10"/>
      <c r="CJ6" s="164"/>
      <c r="CK6" s="10"/>
      <c r="CL6" s="10"/>
      <c r="CM6" s="164"/>
      <c r="CN6" s="10"/>
      <c r="CO6" s="10"/>
      <c r="CP6" s="164"/>
      <c r="CQ6" s="10"/>
      <c r="CR6" s="10"/>
      <c r="CS6" s="164"/>
      <c r="CT6" s="10"/>
      <c r="CU6" s="10"/>
      <c r="CV6" s="164">
        <v>93.57</v>
      </c>
      <c r="CW6" s="42">
        <f>+H6+K6+N6+Q6+T6+W6+Z6+AC6+AF6+AI6+AL6+AO6</f>
        <v>3371.48</v>
      </c>
      <c r="CX6" s="125">
        <f>I6+L6+O6+R6+U6+X6+AD6+AG6+AJ6+AM6+AP6</f>
        <v>277</v>
      </c>
      <c r="CY6" s="74">
        <f>CV6-D6</f>
        <v>3.5699999999999932</v>
      </c>
    </row>
    <row r="7" spans="1:103" ht="12" thickBot="1" x14ac:dyDescent="0.3">
      <c r="A7" s="134"/>
      <c r="B7" s="49" t="s">
        <v>41</v>
      </c>
      <c r="C7" s="50" t="s">
        <v>46</v>
      </c>
      <c r="D7" s="207">
        <v>92</v>
      </c>
      <c r="E7" s="208">
        <v>0</v>
      </c>
      <c r="F7" s="209">
        <v>0</v>
      </c>
      <c r="G7" s="44"/>
      <c r="H7" s="10"/>
      <c r="I7" s="10"/>
      <c r="J7" s="44"/>
      <c r="K7" s="10"/>
      <c r="L7" s="10"/>
      <c r="M7" s="44"/>
      <c r="N7" s="10"/>
      <c r="O7" s="10"/>
      <c r="P7" s="44"/>
      <c r="Q7" s="10"/>
      <c r="R7" s="10"/>
      <c r="S7" s="44"/>
      <c r="T7" s="10"/>
      <c r="U7" s="10"/>
      <c r="V7" s="44"/>
      <c r="W7" s="10"/>
      <c r="X7" s="10"/>
      <c r="Y7" s="44"/>
      <c r="Z7" s="10"/>
      <c r="AA7" s="10"/>
      <c r="AB7" s="44"/>
      <c r="AC7" s="10"/>
      <c r="AD7" s="10"/>
      <c r="AE7" s="44"/>
      <c r="AF7" s="10"/>
      <c r="AG7" s="10"/>
      <c r="AH7" s="44"/>
      <c r="AI7" s="10"/>
      <c r="AJ7" s="10"/>
      <c r="AK7" s="44"/>
      <c r="AL7" s="10"/>
      <c r="AM7" s="10"/>
      <c r="AN7" s="44"/>
      <c r="AO7" s="10"/>
      <c r="AP7" s="10"/>
      <c r="AQ7" s="44"/>
      <c r="AR7" s="10"/>
      <c r="AS7" s="10"/>
      <c r="AT7" s="44"/>
      <c r="AU7" s="10"/>
      <c r="AV7" s="10"/>
      <c r="AW7" s="44"/>
      <c r="AX7" s="10"/>
      <c r="AY7" s="10"/>
      <c r="AZ7" s="44"/>
      <c r="BA7" s="10"/>
      <c r="BB7" s="10"/>
      <c r="BC7" s="44"/>
      <c r="BD7" s="10"/>
      <c r="BE7" s="10"/>
      <c r="BF7" s="44"/>
      <c r="BG7" s="10"/>
      <c r="BH7" s="10"/>
      <c r="BI7" s="44"/>
      <c r="BJ7" s="10"/>
      <c r="BK7" s="10"/>
      <c r="BL7" s="44"/>
      <c r="BM7" s="10"/>
      <c r="BN7" s="10"/>
      <c r="BO7" s="44"/>
      <c r="BP7" s="10"/>
      <c r="BQ7" s="10"/>
      <c r="BR7" s="44"/>
      <c r="BS7" s="10"/>
      <c r="BT7" s="10"/>
      <c r="BU7" s="44"/>
      <c r="BV7" s="10"/>
      <c r="BW7" s="10"/>
      <c r="BX7" s="44"/>
      <c r="BY7" s="10"/>
      <c r="BZ7" s="10"/>
      <c r="CA7" s="44"/>
      <c r="CB7" s="10"/>
      <c r="CC7" s="10"/>
      <c r="CD7" s="44"/>
      <c r="CE7" s="10"/>
      <c r="CF7" s="10"/>
      <c r="CG7" s="44"/>
      <c r="CH7" s="10"/>
      <c r="CI7" s="10"/>
      <c r="CJ7" s="44"/>
      <c r="CK7" s="10"/>
      <c r="CL7" s="10"/>
      <c r="CM7" s="44"/>
      <c r="CN7" s="10"/>
      <c r="CO7" s="10"/>
      <c r="CP7" s="44"/>
      <c r="CQ7" s="10"/>
      <c r="CR7" s="10"/>
      <c r="CS7" s="44"/>
      <c r="CT7" s="10"/>
      <c r="CU7" s="10"/>
      <c r="CV7" s="44"/>
      <c r="CW7" s="22"/>
      <c r="CX7" s="126"/>
      <c r="CY7" s="74"/>
    </row>
    <row r="8" spans="1:103" x14ac:dyDescent="0.25">
      <c r="A8" s="134"/>
      <c r="B8" s="49" t="s">
        <v>41</v>
      </c>
      <c r="C8" s="50" t="s">
        <v>47</v>
      </c>
      <c r="D8" s="207">
        <v>79</v>
      </c>
      <c r="E8" s="208">
        <v>6000</v>
      </c>
      <c r="F8" s="209">
        <v>399</v>
      </c>
      <c r="G8" s="164">
        <v>89.270072992700733</v>
      </c>
      <c r="H8" s="10">
        <v>237.262</v>
      </c>
      <c r="I8" s="10">
        <v>14</v>
      </c>
      <c r="J8" s="164">
        <v>86.866117016971572</v>
      </c>
      <c r="K8" s="10">
        <v>246.857</v>
      </c>
      <c r="L8" s="10">
        <v>15</v>
      </c>
      <c r="M8" s="164">
        <v>88.07</v>
      </c>
      <c r="N8" s="10">
        <v>302.512</v>
      </c>
      <c r="O8" s="10">
        <v>16</v>
      </c>
      <c r="P8" s="164">
        <v>88.39</v>
      </c>
      <c r="Q8" s="10">
        <v>321.49599999999998</v>
      </c>
      <c r="R8" s="10">
        <v>17</v>
      </c>
      <c r="S8" s="164">
        <v>85.95</v>
      </c>
      <c r="T8" s="10">
        <v>303.392</v>
      </c>
      <c r="U8" s="10">
        <v>16</v>
      </c>
      <c r="V8" s="164">
        <v>86.08</v>
      </c>
      <c r="W8" s="10">
        <v>225.71199999999999</v>
      </c>
      <c r="X8" s="10">
        <v>12</v>
      </c>
      <c r="Y8" s="164">
        <v>88.31</v>
      </c>
      <c r="Z8" s="10">
        <v>304.25099999999998</v>
      </c>
      <c r="AA8" s="10">
        <v>16</v>
      </c>
      <c r="AB8" s="164">
        <v>88.26</v>
      </c>
      <c r="AC8" s="10">
        <v>266.82299999999998</v>
      </c>
      <c r="AD8" s="10">
        <v>14</v>
      </c>
      <c r="AE8" s="164">
        <v>89.11</v>
      </c>
      <c r="AF8" s="10">
        <v>282.77999999999997</v>
      </c>
      <c r="AG8" s="10">
        <v>15</v>
      </c>
      <c r="AH8" s="164">
        <v>85.85</v>
      </c>
      <c r="AI8" s="10">
        <v>303.51799999999997</v>
      </c>
      <c r="AJ8" s="10">
        <v>16</v>
      </c>
      <c r="AK8" s="164">
        <v>89.26</v>
      </c>
      <c r="AL8" s="10">
        <v>264.87799999999999</v>
      </c>
      <c r="AM8" s="10">
        <v>14</v>
      </c>
      <c r="AN8" s="164">
        <v>87.25</v>
      </c>
      <c r="AO8" s="10">
        <v>303</v>
      </c>
      <c r="AP8" s="10">
        <v>16</v>
      </c>
      <c r="AQ8" s="164"/>
      <c r="AR8" s="10"/>
      <c r="AS8" s="10"/>
      <c r="AT8" s="164"/>
      <c r="AU8" s="10"/>
      <c r="AV8" s="10"/>
      <c r="AW8" s="164"/>
      <c r="AX8" s="10"/>
      <c r="AY8" s="10"/>
      <c r="AZ8" s="164"/>
      <c r="BA8" s="10"/>
      <c r="BB8" s="10"/>
      <c r="BC8" s="164"/>
      <c r="BD8" s="10"/>
      <c r="BE8" s="10"/>
      <c r="BF8" s="164"/>
      <c r="BG8" s="10"/>
      <c r="BH8" s="10"/>
      <c r="BI8" s="164"/>
      <c r="BJ8" s="10"/>
      <c r="BK8" s="10"/>
      <c r="BL8" s="164"/>
      <c r="BM8" s="10"/>
      <c r="BN8" s="10"/>
      <c r="BO8" s="164"/>
      <c r="BP8" s="10"/>
      <c r="BQ8" s="10"/>
      <c r="BR8" s="164"/>
      <c r="BS8" s="10"/>
      <c r="BT8" s="10"/>
      <c r="BU8" s="164"/>
      <c r="BV8" s="10"/>
      <c r="BW8" s="10"/>
      <c r="BX8" s="164"/>
      <c r="BY8" s="10"/>
      <c r="BZ8" s="10"/>
      <c r="CA8" s="164"/>
      <c r="CB8" s="10"/>
      <c r="CC8" s="10"/>
      <c r="CD8" s="164"/>
      <c r="CE8" s="10"/>
      <c r="CF8" s="10"/>
      <c r="CG8" s="164"/>
      <c r="CH8" s="10"/>
      <c r="CI8" s="10"/>
      <c r="CJ8" s="164"/>
      <c r="CK8" s="10"/>
      <c r="CL8" s="10"/>
      <c r="CM8" s="164"/>
      <c r="CN8" s="10"/>
      <c r="CO8" s="10"/>
      <c r="CP8" s="164"/>
      <c r="CQ8" s="10"/>
      <c r="CR8" s="10"/>
      <c r="CS8" s="164"/>
      <c r="CT8" s="10"/>
      <c r="CU8" s="10"/>
      <c r="CV8" s="164">
        <v>87.73</v>
      </c>
      <c r="CW8" s="42">
        <f>+H8+K8+N8+Q8+T8+W8+Z8+AC8+AF8+AI8+AL8+AO8</f>
        <v>3362.4810000000002</v>
      </c>
      <c r="CX8" s="125">
        <f>I8+L8+O8+R8+U8+X8+AD8+AG8+AJ8+AM8+AP8</f>
        <v>165</v>
      </c>
      <c r="CY8" s="74">
        <f>CV8-D8</f>
        <v>8.730000000000004</v>
      </c>
    </row>
    <row r="9" spans="1:103" ht="12" thickBot="1" x14ac:dyDescent="0.3">
      <c r="A9" s="134"/>
      <c r="B9" s="127" t="s">
        <v>48</v>
      </c>
      <c r="C9" s="128" t="s">
        <v>44</v>
      </c>
      <c r="D9" s="210">
        <v>93.6</v>
      </c>
      <c r="E9" s="211">
        <v>0</v>
      </c>
      <c r="F9" s="212">
        <v>0</v>
      </c>
      <c r="G9" s="130"/>
      <c r="H9" s="129"/>
      <c r="I9" s="129"/>
      <c r="J9" s="130"/>
      <c r="K9" s="129"/>
      <c r="L9" s="129"/>
      <c r="M9" s="130"/>
      <c r="N9" s="129"/>
      <c r="O9" s="129"/>
      <c r="P9" s="130"/>
      <c r="Q9" s="129"/>
      <c r="R9" s="129"/>
      <c r="S9" s="130"/>
      <c r="T9" s="129"/>
      <c r="U9" s="129"/>
      <c r="V9" s="130"/>
      <c r="W9" s="129">
        <v>0</v>
      </c>
      <c r="X9" s="129"/>
      <c r="Y9" s="130"/>
      <c r="Z9" s="129"/>
      <c r="AA9" s="129"/>
      <c r="AB9" s="130"/>
      <c r="AC9" s="129"/>
      <c r="AD9" s="129"/>
      <c r="AE9" s="130"/>
      <c r="AF9" s="129"/>
      <c r="AG9" s="129"/>
      <c r="AH9" s="130"/>
      <c r="AI9" s="129"/>
      <c r="AJ9" s="129"/>
      <c r="AK9" s="130"/>
      <c r="AL9" s="129"/>
      <c r="AM9" s="129"/>
      <c r="AN9" s="130"/>
      <c r="AO9" s="129"/>
      <c r="AP9" s="129"/>
      <c r="AQ9" s="130"/>
      <c r="AR9" s="129"/>
      <c r="AS9" s="129"/>
      <c r="AT9" s="130"/>
      <c r="AU9" s="129"/>
      <c r="AV9" s="129"/>
      <c r="AW9" s="130"/>
      <c r="AX9" s="129"/>
      <c r="AY9" s="129"/>
      <c r="AZ9" s="130"/>
      <c r="BA9" s="129"/>
      <c r="BB9" s="129"/>
      <c r="BC9" s="130"/>
      <c r="BD9" s="129"/>
      <c r="BE9" s="129"/>
      <c r="BF9" s="130"/>
      <c r="BG9" s="129"/>
      <c r="BH9" s="129"/>
      <c r="BI9" s="130"/>
      <c r="BJ9" s="129"/>
      <c r="BK9" s="129"/>
      <c r="BL9" s="130"/>
      <c r="BM9" s="129"/>
      <c r="BN9" s="129"/>
      <c r="BO9" s="130"/>
      <c r="BP9" s="129"/>
      <c r="BQ9" s="129"/>
      <c r="BR9" s="130"/>
      <c r="BS9" s="129"/>
      <c r="BT9" s="129"/>
      <c r="BU9" s="130"/>
      <c r="BV9" s="129"/>
      <c r="BW9" s="129"/>
      <c r="BX9" s="130"/>
      <c r="BY9" s="129"/>
      <c r="BZ9" s="129"/>
      <c r="CA9" s="130"/>
      <c r="CB9" s="129"/>
      <c r="CC9" s="129"/>
      <c r="CD9" s="130"/>
      <c r="CE9" s="129"/>
      <c r="CF9" s="129"/>
      <c r="CG9" s="130"/>
      <c r="CH9" s="129"/>
      <c r="CI9" s="129"/>
      <c r="CJ9" s="130"/>
      <c r="CK9" s="129"/>
      <c r="CL9" s="129"/>
      <c r="CM9" s="130"/>
      <c r="CN9" s="129"/>
      <c r="CO9" s="129"/>
      <c r="CP9" s="130"/>
      <c r="CQ9" s="129"/>
      <c r="CR9" s="129"/>
      <c r="CS9" s="130"/>
      <c r="CT9" s="129"/>
      <c r="CU9" s="129"/>
      <c r="CV9" s="130"/>
      <c r="CW9" s="231"/>
      <c r="CX9" s="132"/>
      <c r="CY9" s="74"/>
    </row>
    <row r="10" spans="1:103" ht="12" thickBot="1" x14ac:dyDescent="0.3">
      <c r="A10" s="139"/>
      <c r="B10" s="141" t="s">
        <v>49</v>
      </c>
      <c r="C10" s="142" t="s">
        <v>21</v>
      </c>
      <c r="D10" s="213">
        <v>89.460719315222221</v>
      </c>
      <c r="E10" s="214">
        <f>SUM(E4:E9)</f>
        <v>21000</v>
      </c>
      <c r="F10" s="214">
        <f>SUM(F4:F9)</f>
        <v>1709.2740955827687</v>
      </c>
      <c r="G10" s="165">
        <v>92.025533030347034</v>
      </c>
      <c r="H10" s="143">
        <v>779.36699999999996</v>
      </c>
      <c r="I10" s="143">
        <v>55</v>
      </c>
      <c r="J10" s="165">
        <v>89.769575078351764</v>
      </c>
      <c r="K10" s="143">
        <v>837.52499999999998</v>
      </c>
      <c r="L10" s="143">
        <v>58</v>
      </c>
      <c r="M10" s="165">
        <v>90.19</v>
      </c>
      <c r="N10" s="143">
        <v>843.178</v>
      </c>
      <c r="O10" s="143">
        <v>53</v>
      </c>
      <c r="P10" s="165">
        <v>90.83</v>
      </c>
      <c r="Q10" s="143">
        <v>964.39</v>
      </c>
      <c r="R10" s="143">
        <v>61</v>
      </c>
      <c r="S10" s="165">
        <v>89.35</v>
      </c>
      <c r="T10" s="143">
        <v>993.34299999999996</v>
      </c>
      <c r="U10" s="143">
        <v>64</v>
      </c>
      <c r="V10" s="165">
        <v>89.39</v>
      </c>
      <c r="W10" s="143">
        <v>913.12900000000002</v>
      </c>
      <c r="X10" s="143">
        <v>59</v>
      </c>
      <c r="Y10" s="165">
        <v>89.9</v>
      </c>
      <c r="Z10" s="143">
        <v>882.66300000000001</v>
      </c>
      <c r="AA10" s="143">
        <v>56</v>
      </c>
      <c r="AB10" s="165">
        <v>91.54</v>
      </c>
      <c r="AC10" s="143">
        <v>954.79899999999998</v>
      </c>
      <c r="AD10" s="143">
        <v>61</v>
      </c>
      <c r="AE10" s="165">
        <v>91.53</v>
      </c>
      <c r="AF10" s="143">
        <v>1010.027</v>
      </c>
      <c r="AG10" s="143">
        <v>65</v>
      </c>
      <c r="AH10" s="165">
        <v>89.22</v>
      </c>
      <c r="AI10" s="143">
        <v>894.245</v>
      </c>
      <c r="AJ10" s="143">
        <v>57</v>
      </c>
      <c r="AK10" s="165">
        <v>91.34</v>
      </c>
      <c r="AL10" s="143">
        <v>899.649</v>
      </c>
      <c r="AM10" s="143">
        <v>57</v>
      </c>
      <c r="AN10" s="165">
        <v>90.34</v>
      </c>
      <c r="AO10" s="143">
        <v>898.03599999999994</v>
      </c>
      <c r="AP10" s="143">
        <v>57</v>
      </c>
      <c r="AQ10" s="165"/>
      <c r="AR10" s="143"/>
      <c r="AS10" s="143"/>
      <c r="AT10" s="165"/>
      <c r="AU10" s="143"/>
      <c r="AV10" s="143"/>
      <c r="AW10" s="165"/>
      <c r="AX10" s="143"/>
      <c r="AY10" s="143"/>
      <c r="AZ10" s="165"/>
      <c r="BA10" s="143"/>
      <c r="BB10" s="143"/>
      <c r="BC10" s="165"/>
      <c r="BD10" s="143"/>
      <c r="BE10" s="143"/>
      <c r="BF10" s="165"/>
      <c r="BG10" s="143"/>
      <c r="BH10" s="143"/>
      <c r="BI10" s="165"/>
      <c r="BJ10" s="143"/>
      <c r="BK10" s="143"/>
      <c r="BL10" s="165"/>
      <c r="BM10" s="143"/>
      <c r="BN10" s="143"/>
      <c r="BO10" s="165"/>
      <c r="BP10" s="143"/>
      <c r="BQ10" s="143"/>
      <c r="BR10" s="165"/>
      <c r="BS10" s="143"/>
      <c r="BT10" s="143"/>
      <c r="BU10" s="165"/>
      <c r="BV10" s="143"/>
      <c r="BW10" s="143"/>
      <c r="BX10" s="165"/>
      <c r="BY10" s="143"/>
      <c r="BZ10" s="143"/>
      <c r="CA10" s="165"/>
      <c r="CB10" s="143"/>
      <c r="CC10" s="143"/>
      <c r="CD10" s="165"/>
      <c r="CE10" s="143"/>
      <c r="CF10" s="143"/>
      <c r="CG10" s="165"/>
      <c r="CH10" s="143"/>
      <c r="CI10" s="143"/>
      <c r="CJ10" s="165"/>
      <c r="CK10" s="143"/>
      <c r="CL10" s="143"/>
      <c r="CM10" s="165"/>
      <c r="CN10" s="143"/>
      <c r="CO10" s="143"/>
      <c r="CP10" s="165"/>
      <c r="CQ10" s="143"/>
      <c r="CR10" s="143"/>
      <c r="CS10" s="165"/>
      <c r="CT10" s="143"/>
      <c r="CU10" s="143"/>
      <c r="CV10" s="165">
        <v>90.46</v>
      </c>
      <c r="CW10" s="249">
        <f>+H10+K10+N10+Q10+T10+W10+Z10+AC10+AF10+AI10+AL10+AO10</f>
        <v>10870.350999999999</v>
      </c>
      <c r="CX10" s="250">
        <f>I10+L10+O10+R10+U10+X10+AD10+AG10+AJ10+AM10+AP10</f>
        <v>647</v>
      </c>
      <c r="CY10" s="75">
        <f>CV10-D10</f>
        <v>0.99928068477777288</v>
      </c>
    </row>
    <row r="11" spans="1:103" x14ac:dyDescent="0.25">
      <c r="A11" s="134"/>
      <c r="B11" s="45" t="s">
        <v>32</v>
      </c>
      <c r="C11" s="46" t="s">
        <v>50</v>
      </c>
      <c r="D11" s="204">
        <v>84.2</v>
      </c>
      <c r="E11" s="205">
        <v>3400</v>
      </c>
      <c r="F11" s="206">
        <v>186</v>
      </c>
      <c r="G11" s="43">
        <v>82.619169706175441</v>
      </c>
      <c r="H11" s="42">
        <v>85.396000000000001</v>
      </c>
      <c r="I11" s="42">
        <v>4</v>
      </c>
      <c r="J11" s="43">
        <v>83.761554066320926</v>
      </c>
      <c r="K11" s="42">
        <v>106.11499999999999</v>
      </c>
      <c r="L11" s="42">
        <v>5</v>
      </c>
      <c r="M11" s="43">
        <v>87.48</v>
      </c>
      <c r="N11" s="42">
        <v>127.309</v>
      </c>
      <c r="O11" s="42">
        <v>5</v>
      </c>
      <c r="P11" s="43">
        <v>69.36</v>
      </c>
      <c r="Q11" s="42">
        <v>50.222999999999999</v>
      </c>
      <c r="R11" s="42">
        <v>2</v>
      </c>
      <c r="S11" s="43">
        <v>82.88</v>
      </c>
      <c r="T11" s="42">
        <v>101.95699999999999</v>
      </c>
      <c r="U11" s="42">
        <v>4</v>
      </c>
      <c r="V11" s="43">
        <v>86.53</v>
      </c>
      <c r="W11" s="42">
        <v>154.495</v>
      </c>
      <c r="X11" s="42">
        <v>6</v>
      </c>
      <c r="Y11" s="43">
        <v>84.64</v>
      </c>
      <c r="Z11" s="42">
        <v>103.41800000000001</v>
      </c>
      <c r="AA11" s="42">
        <v>4</v>
      </c>
      <c r="AB11" s="43">
        <v>77.91</v>
      </c>
      <c r="AC11" s="42">
        <v>102.977</v>
      </c>
      <c r="AD11" s="42">
        <v>4</v>
      </c>
      <c r="AE11" s="43">
        <v>76.08</v>
      </c>
      <c r="AF11" s="42">
        <v>103.56699999999999</v>
      </c>
      <c r="AG11" s="42">
        <v>4</v>
      </c>
      <c r="AH11" s="43">
        <v>78.739999999999995</v>
      </c>
      <c r="AI11" s="42">
        <v>166.26900000000001</v>
      </c>
      <c r="AJ11" s="42">
        <v>7</v>
      </c>
      <c r="AK11" s="43">
        <v>85.36</v>
      </c>
      <c r="AL11" s="42">
        <v>153.56899999999999</v>
      </c>
      <c r="AM11" s="42">
        <v>6</v>
      </c>
      <c r="AN11" s="43">
        <v>78.010000000000005</v>
      </c>
      <c r="AO11" s="42">
        <v>74.335999999999999</v>
      </c>
      <c r="AP11" s="42">
        <v>3</v>
      </c>
      <c r="AQ11" s="43"/>
      <c r="AR11" s="42"/>
      <c r="AS11" s="42"/>
      <c r="AT11" s="43"/>
      <c r="AU11" s="42"/>
      <c r="AV11" s="42"/>
      <c r="AW11" s="43"/>
      <c r="AX11" s="42"/>
      <c r="AY11" s="42"/>
      <c r="AZ11" s="43"/>
      <c r="BA11" s="42"/>
      <c r="BB11" s="42"/>
      <c r="BC11" s="43"/>
      <c r="BD11" s="42"/>
      <c r="BE11" s="42"/>
      <c r="BF11" s="43"/>
      <c r="BG11" s="42"/>
      <c r="BH11" s="42"/>
      <c r="BI11" s="43"/>
      <c r="BJ11" s="42"/>
      <c r="BK11" s="42"/>
      <c r="BL11" s="43"/>
      <c r="BM11" s="42"/>
      <c r="BN11" s="42"/>
      <c r="BO11" s="43"/>
      <c r="BP11" s="42"/>
      <c r="BQ11" s="42"/>
      <c r="BR11" s="43"/>
      <c r="BS11" s="42"/>
      <c r="BT11" s="42"/>
      <c r="BU11" s="43"/>
      <c r="BV11" s="42"/>
      <c r="BW11" s="42"/>
      <c r="BX11" s="43"/>
      <c r="BY11" s="42"/>
      <c r="BZ11" s="42"/>
      <c r="CA11" s="43"/>
      <c r="CB11" s="42"/>
      <c r="CC11" s="42"/>
      <c r="CD11" s="43"/>
      <c r="CE11" s="42"/>
      <c r="CF11" s="42"/>
      <c r="CG11" s="43"/>
      <c r="CH11" s="42"/>
      <c r="CI11" s="42"/>
      <c r="CJ11" s="43"/>
      <c r="CK11" s="42"/>
      <c r="CL11" s="42"/>
      <c r="CM11" s="43"/>
      <c r="CN11" s="42"/>
      <c r="CO11" s="42"/>
      <c r="CP11" s="43"/>
      <c r="CQ11" s="42"/>
      <c r="CR11" s="42"/>
      <c r="CS11" s="43"/>
      <c r="CT11" s="42"/>
      <c r="CU11" s="42"/>
      <c r="CV11" s="43">
        <v>82.05</v>
      </c>
      <c r="CW11" s="42">
        <f>+H11+K11+N11+Q11+T11+W11+Z11+AC11+AF11+AI11+AL11+AO11</f>
        <v>1329.6310000000001</v>
      </c>
      <c r="CX11" s="125">
        <f>I11+L11+O11+R11+U11+X11+AD11+AG11+AJ11+AM11+AP11</f>
        <v>50</v>
      </c>
      <c r="CY11" s="74">
        <f>CV11-D11</f>
        <v>-2.1500000000000057</v>
      </c>
    </row>
    <row r="12" spans="1:103" ht="12" thickBot="1" x14ac:dyDescent="0.3">
      <c r="A12" s="134"/>
      <c r="B12" s="127" t="s">
        <v>32</v>
      </c>
      <c r="C12" s="128" t="s">
        <v>42</v>
      </c>
      <c r="D12" s="210"/>
      <c r="E12" s="215"/>
      <c r="F12" s="212"/>
      <c r="G12" s="130"/>
      <c r="H12" s="129"/>
      <c r="I12" s="129"/>
      <c r="J12" s="130"/>
      <c r="K12" s="129"/>
      <c r="L12" s="129"/>
      <c r="M12" s="130"/>
      <c r="N12" s="129"/>
      <c r="O12" s="129"/>
      <c r="P12" s="130"/>
      <c r="Q12" s="129"/>
      <c r="R12" s="129"/>
      <c r="S12" s="130"/>
      <c r="T12" s="129"/>
      <c r="U12" s="129"/>
      <c r="V12" s="130"/>
      <c r="W12" s="129"/>
      <c r="X12" s="129"/>
      <c r="Y12" s="130"/>
      <c r="Z12" s="129"/>
      <c r="AA12" s="129"/>
      <c r="AB12" s="130"/>
      <c r="AC12" s="129"/>
      <c r="AD12" s="129"/>
      <c r="AE12" s="130"/>
      <c r="AF12" s="129"/>
      <c r="AG12" s="129"/>
      <c r="AH12" s="130"/>
      <c r="AI12" s="129"/>
      <c r="AJ12" s="129"/>
      <c r="AK12" s="130"/>
      <c r="AL12" s="129"/>
      <c r="AM12" s="129"/>
      <c r="AN12" s="130"/>
      <c r="AO12" s="129"/>
      <c r="AP12" s="129"/>
      <c r="AQ12" s="130"/>
      <c r="AR12" s="129"/>
      <c r="AS12" s="129"/>
      <c r="AT12" s="130"/>
      <c r="AU12" s="129"/>
      <c r="AV12" s="129"/>
      <c r="AW12" s="130"/>
      <c r="AX12" s="129"/>
      <c r="AY12" s="129"/>
      <c r="AZ12" s="130"/>
      <c r="BA12" s="129"/>
      <c r="BB12" s="129"/>
      <c r="BC12" s="130"/>
      <c r="BD12" s="129"/>
      <c r="BE12" s="129"/>
      <c r="BF12" s="130"/>
      <c r="BG12" s="129"/>
      <c r="BH12" s="129"/>
      <c r="BI12" s="130"/>
      <c r="BJ12" s="129"/>
      <c r="BK12" s="129"/>
      <c r="BL12" s="130"/>
      <c r="BM12" s="129"/>
      <c r="BN12" s="129"/>
      <c r="BO12" s="130"/>
      <c r="BP12" s="129"/>
      <c r="BQ12" s="129"/>
      <c r="BR12" s="130"/>
      <c r="BS12" s="129"/>
      <c r="BT12" s="129"/>
      <c r="BU12" s="130"/>
      <c r="BV12" s="129"/>
      <c r="BW12" s="129"/>
      <c r="BX12" s="130"/>
      <c r="BY12" s="129"/>
      <c r="BZ12" s="129"/>
      <c r="CA12" s="130"/>
      <c r="CB12" s="129"/>
      <c r="CC12" s="129"/>
      <c r="CD12" s="130"/>
      <c r="CE12" s="129"/>
      <c r="CF12" s="129"/>
      <c r="CG12" s="130"/>
      <c r="CH12" s="129"/>
      <c r="CI12" s="129"/>
      <c r="CJ12" s="130"/>
      <c r="CK12" s="129"/>
      <c r="CL12" s="129"/>
      <c r="CM12" s="130"/>
      <c r="CN12" s="129"/>
      <c r="CO12" s="129"/>
      <c r="CP12" s="130"/>
      <c r="CQ12" s="129"/>
      <c r="CR12" s="129"/>
      <c r="CS12" s="130"/>
      <c r="CT12" s="129"/>
      <c r="CU12" s="129"/>
      <c r="CV12" s="130"/>
      <c r="CW12" s="231"/>
      <c r="CX12" s="132"/>
      <c r="CY12" s="74"/>
    </row>
    <row r="13" spans="1:103" ht="12" thickBot="1" x14ac:dyDescent="0.3">
      <c r="A13" s="31"/>
      <c r="B13" s="122" t="s">
        <v>51</v>
      </c>
      <c r="C13" s="144" t="s">
        <v>21</v>
      </c>
      <c r="D13" s="216">
        <v>84.2</v>
      </c>
      <c r="E13" s="214">
        <f>E11</f>
        <v>3400</v>
      </c>
      <c r="F13" s="214">
        <f>F11</f>
        <v>186</v>
      </c>
      <c r="G13" s="165">
        <v>82.619169706175441</v>
      </c>
      <c r="H13" s="143">
        <v>85.396000000000001</v>
      </c>
      <c r="I13" s="143">
        <v>4</v>
      </c>
      <c r="J13" s="165"/>
      <c r="K13" s="143"/>
      <c r="L13" s="143"/>
      <c r="M13" s="165">
        <v>87.48</v>
      </c>
      <c r="N13" s="143">
        <v>127.309</v>
      </c>
      <c r="O13" s="143">
        <v>5</v>
      </c>
      <c r="P13" s="165">
        <v>69.36</v>
      </c>
      <c r="Q13" s="143">
        <v>50.222999999999999</v>
      </c>
      <c r="R13" s="143">
        <v>2</v>
      </c>
      <c r="S13" s="165">
        <v>82.88</v>
      </c>
      <c r="T13" s="143">
        <v>101.95699999999999</v>
      </c>
      <c r="U13" s="143">
        <v>4</v>
      </c>
      <c r="V13" s="165">
        <v>86.53</v>
      </c>
      <c r="W13" s="143">
        <v>154.495</v>
      </c>
      <c r="X13" s="143">
        <v>6</v>
      </c>
      <c r="Y13" s="165">
        <v>84.64</v>
      </c>
      <c r="Z13" s="143">
        <v>103.41800000000001</v>
      </c>
      <c r="AA13" s="143">
        <v>4</v>
      </c>
      <c r="AB13" s="165">
        <v>77.91</v>
      </c>
      <c r="AC13" s="143">
        <v>102.977</v>
      </c>
      <c r="AD13" s="143">
        <v>4</v>
      </c>
      <c r="AE13" s="165">
        <v>76.08</v>
      </c>
      <c r="AF13" s="143">
        <v>103.56699999999999</v>
      </c>
      <c r="AG13" s="143">
        <v>4</v>
      </c>
      <c r="AH13" s="165">
        <v>78.739999999999995</v>
      </c>
      <c r="AI13" s="143">
        <v>166.26900000000001</v>
      </c>
      <c r="AJ13" s="143">
        <v>7</v>
      </c>
      <c r="AK13" s="165">
        <v>85.36</v>
      </c>
      <c r="AL13" s="143">
        <v>153.56899999999999</v>
      </c>
      <c r="AM13" s="143">
        <v>6</v>
      </c>
      <c r="AN13" s="165">
        <v>78.010000000000005</v>
      </c>
      <c r="AO13" s="143">
        <v>74.335999999999999</v>
      </c>
      <c r="AP13" s="143">
        <v>3</v>
      </c>
      <c r="AQ13" s="165"/>
      <c r="AR13" s="143"/>
      <c r="AS13" s="143"/>
      <c r="AT13" s="165"/>
      <c r="AU13" s="143"/>
      <c r="AV13" s="143"/>
      <c r="AW13" s="165"/>
      <c r="AX13" s="143"/>
      <c r="AY13" s="143"/>
      <c r="AZ13" s="165"/>
      <c r="BA13" s="143"/>
      <c r="BB13" s="143"/>
      <c r="BC13" s="165"/>
      <c r="BD13" s="143"/>
      <c r="BE13" s="143"/>
      <c r="BF13" s="165"/>
      <c r="BG13" s="143"/>
      <c r="BH13" s="143"/>
      <c r="BI13" s="165"/>
      <c r="BJ13" s="143"/>
      <c r="BK13" s="143"/>
      <c r="BL13" s="165"/>
      <c r="BM13" s="143"/>
      <c r="BN13" s="143"/>
      <c r="BO13" s="165"/>
      <c r="BP13" s="143"/>
      <c r="BQ13" s="143"/>
      <c r="BR13" s="165"/>
      <c r="BS13" s="143"/>
      <c r="BT13" s="143"/>
      <c r="BU13" s="165"/>
      <c r="BV13" s="143"/>
      <c r="BW13" s="143"/>
      <c r="BX13" s="165"/>
      <c r="BY13" s="143"/>
      <c r="BZ13" s="143"/>
      <c r="CA13" s="165"/>
      <c r="CB13" s="143"/>
      <c r="CC13" s="143"/>
      <c r="CD13" s="165"/>
      <c r="CE13" s="143"/>
      <c r="CF13" s="143"/>
      <c r="CG13" s="165"/>
      <c r="CH13" s="143"/>
      <c r="CI13" s="143"/>
      <c r="CJ13" s="165"/>
      <c r="CK13" s="143"/>
      <c r="CL13" s="143"/>
      <c r="CM13" s="165"/>
      <c r="CN13" s="143"/>
      <c r="CO13" s="143"/>
      <c r="CP13" s="165"/>
      <c r="CQ13" s="143"/>
      <c r="CR13" s="143"/>
      <c r="CS13" s="165"/>
      <c r="CT13" s="143"/>
      <c r="CU13" s="143"/>
      <c r="CV13" s="165">
        <v>82.05</v>
      </c>
      <c r="CW13" s="249">
        <f>+H13+K13+N13+Q13+T13+W13+Z13+AC13+AF13+AI13+AL13+AO13</f>
        <v>1223.5160000000001</v>
      </c>
      <c r="CX13" s="250">
        <f>I13+L13+O13+R13+U13+X13+AD13+AG13+AJ13+AM13+AP13</f>
        <v>45</v>
      </c>
      <c r="CY13" s="75">
        <f t="shared" ref="CY13:CY19" si="0">CV13-D13</f>
        <v>-2.1500000000000057</v>
      </c>
    </row>
    <row r="14" spans="1:103" ht="12" thickBot="1" x14ac:dyDescent="0.3">
      <c r="A14" s="134"/>
      <c r="B14" s="45" t="s">
        <v>52</v>
      </c>
      <c r="C14" s="46" t="s">
        <v>53</v>
      </c>
      <c r="D14" s="204">
        <v>92.6</v>
      </c>
      <c r="E14" s="205">
        <v>7900</v>
      </c>
      <c r="F14" s="206">
        <v>562</v>
      </c>
      <c r="G14" s="43">
        <v>95.522596627179468</v>
      </c>
      <c r="H14" s="42">
        <v>300.77199999999999</v>
      </c>
      <c r="I14" s="42">
        <v>19</v>
      </c>
      <c r="J14" s="43">
        <v>93.562285646315587</v>
      </c>
      <c r="K14" s="42">
        <v>283.17</v>
      </c>
      <c r="L14" s="42">
        <v>19</v>
      </c>
      <c r="M14" s="43">
        <v>93.28</v>
      </c>
      <c r="N14" s="42">
        <v>308.99299999999999</v>
      </c>
      <c r="O14" s="42">
        <v>19</v>
      </c>
      <c r="P14" s="43">
        <v>93.73</v>
      </c>
      <c r="Q14" s="42">
        <v>260.35599999999999</v>
      </c>
      <c r="R14" s="42">
        <v>17</v>
      </c>
      <c r="S14" s="43">
        <v>91.28</v>
      </c>
      <c r="T14" s="42">
        <v>289.93099999999998</v>
      </c>
      <c r="U14" s="42">
        <v>19</v>
      </c>
      <c r="V14" s="43">
        <v>91.77</v>
      </c>
      <c r="W14" s="42">
        <v>259.48500000000001</v>
      </c>
      <c r="X14" s="42">
        <v>17</v>
      </c>
      <c r="Y14" s="43">
        <v>93.75</v>
      </c>
      <c r="Z14" s="42">
        <v>337.65100000000001</v>
      </c>
      <c r="AA14" s="42">
        <v>21</v>
      </c>
      <c r="AB14" s="43">
        <v>94.38</v>
      </c>
      <c r="AC14" s="42">
        <v>303.029</v>
      </c>
      <c r="AD14" s="42">
        <v>19</v>
      </c>
      <c r="AE14" s="43">
        <v>94.06</v>
      </c>
      <c r="AF14" s="42">
        <v>262.44200000000001</v>
      </c>
      <c r="AG14" s="42">
        <v>17</v>
      </c>
      <c r="AH14" s="43">
        <v>93.72</v>
      </c>
      <c r="AI14" s="42">
        <v>351.08499999999998</v>
      </c>
      <c r="AJ14" s="42">
        <v>23</v>
      </c>
      <c r="AK14" s="43">
        <v>94.51</v>
      </c>
      <c r="AL14" s="42">
        <v>321.80900000000003</v>
      </c>
      <c r="AM14" s="42">
        <v>21</v>
      </c>
      <c r="AN14" s="43">
        <v>95.49</v>
      </c>
      <c r="AO14" s="42">
        <v>278.32299999999998</v>
      </c>
      <c r="AP14" s="42">
        <v>18</v>
      </c>
      <c r="AQ14" s="43"/>
      <c r="AR14" s="42"/>
      <c r="AS14" s="42"/>
      <c r="AT14" s="43"/>
      <c r="AU14" s="42"/>
      <c r="AV14" s="42"/>
      <c r="AW14" s="43"/>
      <c r="AX14" s="42"/>
      <c r="AY14" s="42"/>
      <c r="AZ14" s="43"/>
      <c r="BA14" s="42"/>
      <c r="BB14" s="42"/>
      <c r="BC14" s="43"/>
      <c r="BD14" s="42"/>
      <c r="BE14" s="42"/>
      <c r="BF14" s="43"/>
      <c r="BG14" s="42"/>
      <c r="BH14" s="42"/>
      <c r="BI14" s="43"/>
      <c r="BJ14" s="42"/>
      <c r="BK14" s="42"/>
      <c r="BL14" s="43"/>
      <c r="BM14" s="42"/>
      <c r="BN14" s="42"/>
      <c r="BO14" s="43"/>
      <c r="BP14" s="42"/>
      <c r="BQ14" s="42"/>
      <c r="BR14" s="43"/>
      <c r="BS14" s="42"/>
      <c r="BT14" s="42"/>
      <c r="BU14" s="43"/>
      <c r="BV14" s="42"/>
      <c r="BW14" s="42"/>
      <c r="BX14" s="43"/>
      <c r="BY14" s="42"/>
      <c r="BZ14" s="42"/>
      <c r="CA14" s="43"/>
      <c r="CB14" s="42"/>
      <c r="CC14" s="42"/>
      <c r="CD14" s="43"/>
      <c r="CE14" s="42"/>
      <c r="CF14" s="42"/>
      <c r="CG14" s="43"/>
      <c r="CH14" s="42"/>
      <c r="CI14" s="42"/>
      <c r="CJ14" s="43"/>
      <c r="CK14" s="42"/>
      <c r="CL14" s="42"/>
      <c r="CM14" s="43"/>
      <c r="CN14" s="42"/>
      <c r="CO14" s="42"/>
      <c r="CP14" s="43"/>
      <c r="CQ14" s="42"/>
      <c r="CR14" s="42"/>
      <c r="CS14" s="43"/>
      <c r="CT14" s="42"/>
      <c r="CU14" s="42"/>
      <c r="CV14" s="43">
        <v>93.77</v>
      </c>
      <c r="CW14" s="42">
        <f>+H14+K14+N14+Q14+T14+W14+Z14+AC14+AF14+AI14+AL14+AO14</f>
        <v>3557.0459999999998</v>
      </c>
      <c r="CX14" s="125">
        <f>I14+L14+O14+R14+U14+X14+AD14+AG14+AJ14+AM14+AP14</f>
        <v>208</v>
      </c>
      <c r="CY14" s="74">
        <f t="shared" si="0"/>
        <v>1.1700000000000017</v>
      </c>
    </row>
    <row r="15" spans="1:103" x14ac:dyDescent="0.25">
      <c r="A15" s="134"/>
      <c r="B15" s="49" t="s">
        <v>52</v>
      </c>
      <c r="C15" s="50" t="s">
        <v>45</v>
      </c>
      <c r="D15" s="207">
        <v>93.8</v>
      </c>
      <c r="E15" s="208">
        <v>45300</v>
      </c>
      <c r="F15" s="209">
        <v>4338</v>
      </c>
      <c r="G15" s="164">
        <v>93.555091316333559</v>
      </c>
      <c r="H15" s="10">
        <v>1824.4590000000001</v>
      </c>
      <c r="I15" s="10">
        <v>169</v>
      </c>
      <c r="J15" s="164">
        <v>93.303334604465917</v>
      </c>
      <c r="K15" s="10">
        <v>1651.539</v>
      </c>
      <c r="L15" s="10">
        <v>154</v>
      </c>
      <c r="M15" s="164">
        <v>93.09</v>
      </c>
      <c r="N15" s="10">
        <v>1516.287</v>
      </c>
      <c r="O15" s="10">
        <v>132</v>
      </c>
      <c r="P15" s="164">
        <v>93.09</v>
      </c>
      <c r="Q15" s="10">
        <v>1692.5519999999999</v>
      </c>
      <c r="R15" s="10">
        <v>111</v>
      </c>
      <c r="S15" s="164">
        <v>93.19</v>
      </c>
      <c r="T15" s="10">
        <v>1592.1690000000001</v>
      </c>
      <c r="U15" s="10">
        <v>138</v>
      </c>
      <c r="V15" s="164">
        <v>92.7</v>
      </c>
      <c r="W15" s="10">
        <v>1385.136</v>
      </c>
      <c r="X15" s="10">
        <v>121</v>
      </c>
      <c r="Y15" s="164">
        <v>93.02</v>
      </c>
      <c r="Z15" s="10">
        <v>1381.1010000000001</v>
      </c>
      <c r="AA15" s="10">
        <v>120</v>
      </c>
      <c r="AB15" s="164">
        <v>92.08</v>
      </c>
      <c r="AC15" s="10">
        <v>1639.299</v>
      </c>
      <c r="AD15" s="10">
        <v>142</v>
      </c>
      <c r="AE15" s="164">
        <v>92.46</v>
      </c>
      <c r="AF15" s="10">
        <v>1902.3879999999999</v>
      </c>
      <c r="AG15" s="10">
        <v>165</v>
      </c>
      <c r="AH15" s="164">
        <v>93.76</v>
      </c>
      <c r="AI15" s="10">
        <v>1487.7190000000001</v>
      </c>
      <c r="AJ15" s="10">
        <v>129</v>
      </c>
      <c r="AK15" s="164">
        <v>93.87</v>
      </c>
      <c r="AL15" s="10">
        <v>1431.2470000000001</v>
      </c>
      <c r="AM15" s="10">
        <v>124</v>
      </c>
      <c r="AN15" s="164">
        <v>94.1</v>
      </c>
      <c r="AO15" s="10">
        <v>1356.2070000000001</v>
      </c>
      <c r="AP15" s="10">
        <v>118</v>
      </c>
      <c r="AQ15" s="164"/>
      <c r="AR15" s="10"/>
      <c r="AS15" s="10"/>
      <c r="AT15" s="164"/>
      <c r="AU15" s="10"/>
      <c r="AV15" s="10"/>
      <c r="AW15" s="164"/>
      <c r="AX15" s="10"/>
      <c r="AY15" s="10"/>
      <c r="AZ15" s="164"/>
      <c r="BA15" s="10"/>
      <c r="BB15" s="10"/>
      <c r="BC15" s="164"/>
      <c r="BD15" s="10"/>
      <c r="BE15" s="10"/>
      <c r="BF15" s="164"/>
      <c r="BG15" s="10"/>
      <c r="BH15" s="10"/>
      <c r="BI15" s="164"/>
      <c r="BJ15" s="10"/>
      <c r="BK15" s="10"/>
      <c r="BL15" s="164"/>
      <c r="BM15" s="10"/>
      <c r="BN15" s="10"/>
      <c r="BO15" s="164"/>
      <c r="BP15" s="10"/>
      <c r="BQ15" s="10"/>
      <c r="BR15" s="164"/>
      <c r="BS15" s="10"/>
      <c r="BT15" s="10"/>
      <c r="BU15" s="164"/>
      <c r="BV15" s="10"/>
      <c r="BW15" s="10"/>
      <c r="BX15" s="164"/>
      <c r="BY15" s="10"/>
      <c r="BZ15" s="10"/>
      <c r="CA15" s="164"/>
      <c r="CB15" s="10"/>
      <c r="CC15" s="10"/>
      <c r="CD15" s="164"/>
      <c r="CE15" s="10"/>
      <c r="CF15" s="10"/>
      <c r="CG15" s="164"/>
      <c r="CH15" s="10"/>
      <c r="CI15" s="10"/>
      <c r="CJ15" s="164"/>
      <c r="CK15" s="10"/>
      <c r="CL15" s="10"/>
      <c r="CM15" s="164"/>
      <c r="CN15" s="10"/>
      <c r="CO15" s="10"/>
      <c r="CP15" s="164"/>
      <c r="CQ15" s="10"/>
      <c r="CR15" s="10"/>
      <c r="CS15" s="164"/>
      <c r="CT15" s="10"/>
      <c r="CU15" s="10"/>
      <c r="CV15" s="164">
        <v>93.16</v>
      </c>
      <c r="CW15" s="42">
        <f>+H15+K15+N15+Q15+T15+W15+Z15+AC15+AF15+AI15+AL15+AO15</f>
        <v>18860.102999999999</v>
      </c>
      <c r="CX15" s="125">
        <f>I15+L15+O15+R15+U15+X15+AD15+AG15+AJ15+AM15+AP15</f>
        <v>1503</v>
      </c>
      <c r="CY15" s="74">
        <f t="shared" si="0"/>
        <v>-0.64000000000000057</v>
      </c>
    </row>
    <row r="16" spans="1:103" ht="12" thickBot="1" x14ac:dyDescent="0.3">
      <c r="A16" s="134"/>
      <c r="B16" s="49" t="s">
        <v>52</v>
      </c>
      <c r="C16" s="50" t="s">
        <v>54</v>
      </c>
      <c r="D16" s="207">
        <v>93</v>
      </c>
      <c r="E16" s="208">
        <v>1000</v>
      </c>
      <c r="F16" s="209">
        <v>122</v>
      </c>
      <c r="G16" s="164"/>
      <c r="H16" s="10"/>
      <c r="I16" s="10"/>
      <c r="J16" s="164"/>
      <c r="K16" s="10"/>
      <c r="L16" s="10"/>
      <c r="M16" s="164"/>
      <c r="N16" s="10"/>
      <c r="O16" s="10"/>
      <c r="P16" s="164"/>
      <c r="Q16" s="10"/>
      <c r="R16" s="10"/>
      <c r="S16" s="164"/>
      <c r="T16" s="10"/>
      <c r="U16" s="10"/>
      <c r="V16" s="164"/>
      <c r="W16" s="10"/>
      <c r="X16" s="10"/>
      <c r="Y16" s="164"/>
      <c r="Z16" s="10"/>
      <c r="AA16" s="10"/>
      <c r="AB16" s="164"/>
      <c r="AC16" s="10"/>
      <c r="AD16" s="10"/>
      <c r="AE16" s="164"/>
      <c r="AF16" s="10"/>
      <c r="AG16" s="10"/>
      <c r="AH16" s="164"/>
      <c r="AI16" s="10"/>
      <c r="AJ16" s="10"/>
      <c r="AK16" s="164">
        <v>80.37</v>
      </c>
      <c r="AL16" s="10">
        <v>46.261000000000003</v>
      </c>
      <c r="AM16" s="10">
        <v>4</v>
      </c>
      <c r="AN16" s="164">
        <v>79.900000000000006</v>
      </c>
      <c r="AO16" s="10">
        <v>79.337000000000003</v>
      </c>
      <c r="AP16" s="10">
        <v>7</v>
      </c>
      <c r="AQ16" s="164"/>
      <c r="AR16" s="10"/>
      <c r="AS16" s="10"/>
      <c r="AT16" s="164"/>
      <c r="AU16" s="10"/>
      <c r="AV16" s="10"/>
      <c r="AW16" s="164"/>
      <c r="AX16" s="10"/>
      <c r="AY16" s="10"/>
      <c r="AZ16" s="164"/>
      <c r="BA16" s="10"/>
      <c r="BB16" s="10"/>
      <c r="BC16" s="164"/>
      <c r="BD16" s="10"/>
      <c r="BE16" s="10"/>
      <c r="BF16" s="164"/>
      <c r="BG16" s="10"/>
      <c r="BH16" s="10"/>
      <c r="BI16" s="164"/>
      <c r="BJ16" s="10"/>
      <c r="BK16" s="10"/>
      <c r="BL16" s="164"/>
      <c r="BM16" s="10"/>
      <c r="BN16" s="10"/>
      <c r="BO16" s="164"/>
      <c r="BP16" s="10"/>
      <c r="BQ16" s="10"/>
      <c r="BR16" s="164"/>
      <c r="BS16" s="10"/>
      <c r="BT16" s="10"/>
      <c r="BU16" s="164"/>
      <c r="BV16" s="10"/>
      <c r="BW16" s="10"/>
      <c r="BX16" s="164"/>
      <c r="BY16" s="10"/>
      <c r="BZ16" s="10"/>
      <c r="CA16" s="164"/>
      <c r="CB16" s="10"/>
      <c r="CC16" s="10"/>
      <c r="CD16" s="164"/>
      <c r="CE16" s="10"/>
      <c r="CF16" s="10"/>
      <c r="CG16" s="164"/>
      <c r="CH16" s="10"/>
      <c r="CI16" s="10"/>
      <c r="CJ16" s="164"/>
      <c r="CK16" s="10"/>
      <c r="CL16" s="10"/>
      <c r="CM16" s="164"/>
      <c r="CN16" s="10"/>
      <c r="CO16" s="10"/>
      <c r="CP16" s="164"/>
      <c r="CQ16" s="10"/>
      <c r="CR16" s="10"/>
      <c r="CS16" s="164"/>
      <c r="CT16" s="10"/>
      <c r="CU16" s="10"/>
      <c r="CV16" s="164">
        <v>80.069999999999993</v>
      </c>
      <c r="CW16" s="22"/>
      <c r="CX16" s="126"/>
      <c r="CY16" s="74">
        <f t="shared" si="0"/>
        <v>-12.930000000000007</v>
      </c>
    </row>
    <row r="17" spans="1:103" ht="12" thickBot="1" x14ac:dyDescent="0.3">
      <c r="A17" s="134"/>
      <c r="B17" s="49" t="s">
        <v>52</v>
      </c>
      <c r="C17" s="50" t="s">
        <v>55</v>
      </c>
      <c r="D17" s="207">
        <v>94</v>
      </c>
      <c r="E17" s="208">
        <v>35100</v>
      </c>
      <c r="F17" s="209">
        <v>3338</v>
      </c>
      <c r="G17" s="164">
        <v>95.439806509056595</v>
      </c>
      <c r="H17" s="10">
        <v>861.81</v>
      </c>
      <c r="I17" s="10">
        <v>78</v>
      </c>
      <c r="J17" s="164">
        <v>95.240786223618159</v>
      </c>
      <c r="K17" s="10">
        <v>1090.4269999999999</v>
      </c>
      <c r="L17" s="10">
        <v>99</v>
      </c>
      <c r="M17" s="164">
        <v>94.01</v>
      </c>
      <c r="N17" s="10">
        <v>1227.894</v>
      </c>
      <c r="O17" s="10">
        <v>107</v>
      </c>
      <c r="P17" s="164">
        <v>95.06</v>
      </c>
      <c r="Q17" s="10">
        <v>1285.712</v>
      </c>
      <c r="R17" s="10">
        <v>147</v>
      </c>
      <c r="S17" s="164">
        <v>95.11</v>
      </c>
      <c r="T17" s="10">
        <v>1029.653</v>
      </c>
      <c r="U17" s="10">
        <v>89</v>
      </c>
      <c r="V17" s="164">
        <v>91.7</v>
      </c>
      <c r="W17" s="10">
        <v>1410.0840000000001</v>
      </c>
      <c r="X17" s="10">
        <v>122</v>
      </c>
      <c r="Y17" s="164">
        <v>92.17</v>
      </c>
      <c r="Z17" s="10">
        <v>1111.211</v>
      </c>
      <c r="AA17" s="10">
        <v>96</v>
      </c>
      <c r="AB17" s="164">
        <v>89.85</v>
      </c>
      <c r="AC17" s="10">
        <v>1680.2190000000001</v>
      </c>
      <c r="AD17" s="10">
        <v>145</v>
      </c>
      <c r="AE17" s="164">
        <v>90.04</v>
      </c>
      <c r="AF17" s="10">
        <v>1423.78</v>
      </c>
      <c r="AG17" s="10">
        <v>123</v>
      </c>
      <c r="AH17" s="164">
        <v>93.22</v>
      </c>
      <c r="AI17" s="10">
        <v>889.97799999999995</v>
      </c>
      <c r="AJ17" s="10">
        <v>77</v>
      </c>
      <c r="AK17" s="164">
        <v>90.48</v>
      </c>
      <c r="AL17" s="10">
        <v>1455.269</v>
      </c>
      <c r="AM17" s="10">
        <v>126</v>
      </c>
      <c r="AN17" s="164">
        <v>88.71</v>
      </c>
      <c r="AO17" s="10">
        <v>1364.7829999999999</v>
      </c>
      <c r="AP17" s="10">
        <v>118</v>
      </c>
      <c r="AQ17" s="164"/>
      <c r="AR17" s="10"/>
      <c r="AS17" s="10"/>
      <c r="AT17" s="164"/>
      <c r="AU17" s="10"/>
      <c r="AV17" s="10"/>
      <c r="AW17" s="164"/>
      <c r="AX17" s="10"/>
      <c r="AY17" s="10"/>
      <c r="AZ17" s="164"/>
      <c r="BA17" s="10"/>
      <c r="BB17" s="10"/>
      <c r="BC17" s="164"/>
      <c r="BD17" s="10"/>
      <c r="BE17" s="10"/>
      <c r="BF17" s="164"/>
      <c r="BG17" s="10"/>
      <c r="BH17" s="10"/>
      <c r="BI17" s="164"/>
      <c r="BJ17" s="10"/>
      <c r="BK17" s="10"/>
      <c r="BL17" s="164"/>
      <c r="BM17" s="10"/>
      <c r="BN17" s="10"/>
      <c r="BO17" s="164"/>
      <c r="BP17" s="10"/>
      <c r="BQ17" s="10"/>
      <c r="BR17" s="164"/>
      <c r="BS17" s="10"/>
      <c r="BT17" s="10"/>
      <c r="BU17" s="164"/>
      <c r="BV17" s="10"/>
      <c r="BW17" s="10"/>
      <c r="BX17" s="164"/>
      <c r="BY17" s="10"/>
      <c r="BZ17" s="10"/>
      <c r="CA17" s="164"/>
      <c r="CB17" s="10"/>
      <c r="CC17" s="10"/>
      <c r="CD17" s="164"/>
      <c r="CE17" s="10"/>
      <c r="CF17" s="10"/>
      <c r="CG17" s="164"/>
      <c r="CH17" s="10"/>
      <c r="CI17" s="10"/>
      <c r="CJ17" s="164"/>
      <c r="CK17" s="10"/>
      <c r="CL17" s="10"/>
      <c r="CM17" s="164"/>
      <c r="CN17" s="10"/>
      <c r="CO17" s="10"/>
      <c r="CP17" s="164"/>
      <c r="CQ17" s="10"/>
      <c r="CR17" s="10"/>
      <c r="CS17" s="164"/>
      <c r="CT17" s="10"/>
      <c r="CU17" s="10"/>
      <c r="CV17" s="164">
        <v>92.29</v>
      </c>
      <c r="CW17" s="42">
        <f>+H17+K17+N17+Q17+T17+W17+Z17+AC17+AF17+AI17+AL17+AO17</f>
        <v>14830.82</v>
      </c>
      <c r="CX17" s="125">
        <f>I17+L17+O17+R17+U17+X17+AD17+AG17+AJ17+AM17+AP17</f>
        <v>1231</v>
      </c>
      <c r="CY17" s="74">
        <f t="shared" si="0"/>
        <v>-1.7099999999999937</v>
      </c>
    </row>
    <row r="18" spans="1:103" ht="12" thickBot="1" x14ac:dyDescent="0.3">
      <c r="A18" s="134"/>
      <c r="B18" s="49" t="s">
        <v>56</v>
      </c>
      <c r="C18" s="50" t="s">
        <v>55</v>
      </c>
      <c r="D18" s="207">
        <v>94.3</v>
      </c>
      <c r="E18" s="208">
        <v>36400</v>
      </c>
      <c r="F18" s="209">
        <v>3467</v>
      </c>
      <c r="G18" s="164">
        <v>92.71536295377156</v>
      </c>
      <c r="H18" s="10">
        <v>1095.394</v>
      </c>
      <c r="I18" s="10">
        <v>102</v>
      </c>
      <c r="J18" s="164">
        <v>93.409200792583931</v>
      </c>
      <c r="K18" s="10">
        <v>1336.9359999999999</v>
      </c>
      <c r="L18" s="10">
        <v>124</v>
      </c>
      <c r="M18" s="164">
        <v>91.63</v>
      </c>
      <c r="N18" s="10">
        <v>1257.4939999999999</v>
      </c>
      <c r="O18" s="10">
        <v>109</v>
      </c>
      <c r="P18" s="164">
        <v>92.9</v>
      </c>
      <c r="Q18" s="10">
        <v>1212.394</v>
      </c>
      <c r="R18" s="10">
        <v>105</v>
      </c>
      <c r="S18" s="164">
        <v>92.76</v>
      </c>
      <c r="T18" s="10">
        <v>1456.9649999999999</v>
      </c>
      <c r="U18" s="10">
        <v>126</v>
      </c>
      <c r="V18" s="164">
        <v>93.43</v>
      </c>
      <c r="W18" s="10">
        <v>1330.7349999999999</v>
      </c>
      <c r="X18" s="10">
        <v>115</v>
      </c>
      <c r="Y18" s="164">
        <v>92.93</v>
      </c>
      <c r="Z18" s="10">
        <v>1906.8779999999999</v>
      </c>
      <c r="AA18" s="10">
        <v>165</v>
      </c>
      <c r="AB18" s="164">
        <v>92.91</v>
      </c>
      <c r="AC18" s="10">
        <v>1144.348</v>
      </c>
      <c r="AD18" s="10">
        <v>99</v>
      </c>
      <c r="AE18" s="164">
        <v>94.73</v>
      </c>
      <c r="AF18" s="10">
        <v>1180.7950000000001</v>
      </c>
      <c r="AG18" s="10">
        <v>102</v>
      </c>
      <c r="AH18" s="164">
        <v>94.36</v>
      </c>
      <c r="AI18" s="10">
        <v>1690.8910000000001</v>
      </c>
      <c r="AJ18" s="10">
        <v>146</v>
      </c>
      <c r="AK18" s="164">
        <v>93.93</v>
      </c>
      <c r="AL18" s="10">
        <v>1330.7249999999999</v>
      </c>
      <c r="AM18" s="10">
        <v>115</v>
      </c>
      <c r="AN18" s="164">
        <v>94.72</v>
      </c>
      <c r="AO18" s="10">
        <v>1203.2070000000001</v>
      </c>
      <c r="AP18" s="10">
        <v>104</v>
      </c>
      <c r="AQ18" s="164"/>
      <c r="AR18" s="10"/>
      <c r="AS18" s="10"/>
      <c r="AT18" s="164"/>
      <c r="AU18" s="10"/>
      <c r="AV18" s="10"/>
      <c r="AW18" s="164"/>
      <c r="AX18" s="10"/>
      <c r="AY18" s="10"/>
      <c r="AZ18" s="164"/>
      <c r="BA18" s="10"/>
      <c r="BB18" s="10"/>
      <c r="BC18" s="164"/>
      <c r="BD18" s="10"/>
      <c r="BE18" s="10"/>
      <c r="BF18" s="164"/>
      <c r="BG18" s="10"/>
      <c r="BH18" s="10"/>
      <c r="BI18" s="164"/>
      <c r="BJ18" s="10"/>
      <c r="BK18" s="10"/>
      <c r="BL18" s="164"/>
      <c r="BM18" s="10"/>
      <c r="BN18" s="10"/>
      <c r="BO18" s="164"/>
      <c r="BP18" s="10"/>
      <c r="BQ18" s="10"/>
      <c r="BR18" s="164"/>
      <c r="BS18" s="10"/>
      <c r="BT18" s="10"/>
      <c r="BU18" s="164"/>
      <c r="BV18" s="10"/>
      <c r="BW18" s="10"/>
      <c r="BX18" s="164"/>
      <c r="BY18" s="10"/>
      <c r="BZ18" s="10"/>
      <c r="CA18" s="164"/>
      <c r="CB18" s="10"/>
      <c r="CC18" s="10"/>
      <c r="CD18" s="164"/>
      <c r="CE18" s="10"/>
      <c r="CF18" s="10"/>
      <c r="CG18" s="164"/>
      <c r="CH18" s="10"/>
      <c r="CI18" s="10"/>
      <c r="CJ18" s="164"/>
      <c r="CK18" s="10"/>
      <c r="CL18" s="10"/>
      <c r="CM18" s="164"/>
      <c r="CN18" s="10"/>
      <c r="CO18" s="10"/>
      <c r="CP18" s="164"/>
      <c r="CQ18" s="10"/>
      <c r="CR18" s="10"/>
      <c r="CS18" s="164"/>
      <c r="CT18" s="10"/>
      <c r="CU18" s="10"/>
      <c r="CV18" s="164">
        <v>93.37</v>
      </c>
      <c r="CW18" s="42">
        <f>+H18+K18+N18+Q18+T18+W18+Z18+AC18+AF18+AI18+AL18+AO18</f>
        <v>16146.762000000001</v>
      </c>
      <c r="CX18" s="125">
        <f>I18+L18+O18+R18+U18+X18+AD18+AG18+AJ18+AM18+AP18</f>
        <v>1247</v>
      </c>
      <c r="CY18" s="74">
        <f t="shared" si="0"/>
        <v>-0.92999999999999261</v>
      </c>
    </row>
    <row r="19" spans="1:103" x14ac:dyDescent="0.25">
      <c r="A19" s="134"/>
      <c r="B19" s="49" t="s">
        <v>57</v>
      </c>
      <c r="C19" s="50" t="s">
        <v>55</v>
      </c>
      <c r="D19" s="207">
        <v>94</v>
      </c>
      <c r="E19" s="208">
        <v>1800</v>
      </c>
      <c r="F19" s="209">
        <v>193</v>
      </c>
      <c r="G19" s="164">
        <v>92.44946535547129</v>
      </c>
      <c r="H19" s="10">
        <v>127.008</v>
      </c>
      <c r="I19" s="10">
        <v>12</v>
      </c>
      <c r="J19" s="164"/>
      <c r="K19" s="10"/>
      <c r="L19" s="10"/>
      <c r="M19" s="164">
        <v>89.15</v>
      </c>
      <c r="N19" s="10">
        <v>115.90900000000001</v>
      </c>
      <c r="O19" s="10">
        <v>10</v>
      </c>
      <c r="P19" s="164">
        <v>90.99</v>
      </c>
      <c r="Q19" s="10">
        <v>104.49</v>
      </c>
      <c r="R19" s="10">
        <v>9</v>
      </c>
      <c r="S19" s="164">
        <v>91.22</v>
      </c>
      <c r="T19" s="10">
        <v>80.495000000000005</v>
      </c>
      <c r="U19" s="10">
        <v>7</v>
      </c>
      <c r="V19" s="164">
        <v>92.09</v>
      </c>
      <c r="W19" s="10">
        <v>127.128</v>
      </c>
      <c r="X19" s="10">
        <v>11</v>
      </c>
      <c r="Y19" s="164">
        <v>90.03</v>
      </c>
      <c r="Z19" s="10">
        <v>11.654</v>
      </c>
      <c r="AA19" s="10">
        <v>1</v>
      </c>
      <c r="AB19" s="164">
        <v>81.69</v>
      </c>
      <c r="AC19" s="10">
        <v>69.007000000000005</v>
      </c>
      <c r="AD19" s="10">
        <v>6</v>
      </c>
      <c r="AE19" s="164">
        <v>89.39</v>
      </c>
      <c r="AF19" s="10">
        <v>185.55600000000001</v>
      </c>
      <c r="AG19" s="10">
        <v>16</v>
      </c>
      <c r="AH19" s="164">
        <v>94.61</v>
      </c>
      <c r="AI19" s="10">
        <v>139.636</v>
      </c>
      <c r="AJ19" s="10">
        <v>12</v>
      </c>
      <c r="AK19" s="164">
        <v>92.81</v>
      </c>
      <c r="AL19" s="10">
        <v>265.512</v>
      </c>
      <c r="AM19" s="10">
        <v>23</v>
      </c>
      <c r="AN19" s="164">
        <v>94.72</v>
      </c>
      <c r="AO19" s="10">
        <v>172.40600000000001</v>
      </c>
      <c r="AP19" s="10">
        <v>15</v>
      </c>
      <c r="AQ19" s="164"/>
      <c r="AR19" s="10"/>
      <c r="AS19" s="10"/>
      <c r="AT19" s="164"/>
      <c r="AU19" s="10"/>
      <c r="AV19" s="10"/>
      <c r="AW19" s="164"/>
      <c r="AX19" s="10"/>
      <c r="AY19" s="10"/>
      <c r="AZ19" s="164"/>
      <c r="BA19" s="10"/>
      <c r="BB19" s="10"/>
      <c r="BC19" s="164"/>
      <c r="BD19" s="10"/>
      <c r="BE19" s="10"/>
      <c r="BF19" s="164"/>
      <c r="BG19" s="10"/>
      <c r="BH19" s="10"/>
      <c r="BI19" s="164"/>
      <c r="BJ19" s="10"/>
      <c r="BK19" s="10"/>
      <c r="BL19" s="164"/>
      <c r="BM19" s="10"/>
      <c r="BN19" s="10"/>
      <c r="BO19" s="164"/>
      <c r="BP19" s="10"/>
      <c r="BQ19" s="10"/>
      <c r="BR19" s="164"/>
      <c r="BS19" s="10"/>
      <c r="BT19" s="10"/>
      <c r="BU19" s="164"/>
      <c r="BV19" s="10"/>
      <c r="BW19" s="10"/>
      <c r="BX19" s="164"/>
      <c r="BY19" s="10"/>
      <c r="BZ19" s="10"/>
      <c r="CA19" s="164"/>
      <c r="CB19" s="10"/>
      <c r="CC19" s="10"/>
      <c r="CD19" s="164"/>
      <c r="CE19" s="10"/>
      <c r="CF19" s="10"/>
      <c r="CG19" s="164"/>
      <c r="CH19" s="10"/>
      <c r="CI19" s="10"/>
      <c r="CJ19" s="164"/>
      <c r="CK19" s="10"/>
      <c r="CL19" s="10"/>
      <c r="CM19" s="164"/>
      <c r="CN19" s="10"/>
      <c r="CO19" s="10"/>
      <c r="CP19" s="164"/>
      <c r="CQ19" s="10"/>
      <c r="CR19" s="10"/>
      <c r="CS19" s="164"/>
      <c r="CT19" s="10"/>
      <c r="CU19" s="10"/>
      <c r="CV19" s="164">
        <v>91.59</v>
      </c>
      <c r="CW19" s="42">
        <f>+H19+K19+N19+Q19+T19+W19+Z19+AC19+AF19+AI19+AL19+AO19</f>
        <v>1398.8009999999999</v>
      </c>
      <c r="CX19" s="125">
        <f>I19+L19+O19+R19+U19+X19+AD19+AG19+AJ19+AM19+AP19</f>
        <v>121</v>
      </c>
      <c r="CY19" s="74">
        <f t="shared" si="0"/>
        <v>-2.4099999999999966</v>
      </c>
    </row>
    <row r="20" spans="1:103" ht="12" thickBot="1" x14ac:dyDescent="0.3">
      <c r="A20" s="134"/>
      <c r="B20" s="145" t="s">
        <v>58</v>
      </c>
      <c r="C20" s="146" t="s">
        <v>55</v>
      </c>
      <c r="D20" s="217">
        <v>94</v>
      </c>
      <c r="E20" s="218">
        <v>400</v>
      </c>
      <c r="F20" s="212">
        <v>43</v>
      </c>
      <c r="G20" s="166"/>
      <c r="H20" s="129"/>
      <c r="I20" s="129"/>
      <c r="J20" s="166"/>
      <c r="K20" s="129"/>
      <c r="L20" s="129"/>
      <c r="M20" s="166"/>
      <c r="N20" s="129"/>
      <c r="O20" s="129"/>
      <c r="P20" s="166"/>
      <c r="Q20" s="129"/>
      <c r="R20" s="129"/>
      <c r="S20" s="166"/>
      <c r="T20" s="129"/>
      <c r="U20" s="129"/>
      <c r="V20" s="166"/>
      <c r="W20" s="129"/>
      <c r="X20" s="129"/>
      <c r="Y20" s="166"/>
      <c r="Z20" s="129"/>
      <c r="AA20" s="129"/>
      <c r="AB20" s="166"/>
      <c r="AC20" s="129"/>
      <c r="AD20" s="129"/>
      <c r="AE20" s="166"/>
      <c r="AF20" s="129"/>
      <c r="AG20" s="129"/>
      <c r="AH20" s="166"/>
      <c r="AI20" s="129"/>
      <c r="AJ20" s="129"/>
      <c r="AK20" s="166"/>
      <c r="AL20" s="129"/>
      <c r="AM20" s="129"/>
      <c r="AN20" s="166"/>
      <c r="AO20" s="129"/>
      <c r="AP20" s="129"/>
      <c r="AQ20" s="166"/>
      <c r="AR20" s="129"/>
      <c r="AS20" s="129"/>
      <c r="AT20" s="166"/>
      <c r="AU20" s="129"/>
      <c r="AV20" s="129"/>
      <c r="AW20" s="166"/>
      <c r="AX20" s="129"/>
      <c r="AY20" s="129"/>
      <c r="AZ20" s="166"/>
      <c r="BA20" s="129"/>
      <c r="BB20" s="129"/>
      <c r="BC20" s="166"/>
      <c r="BD20" s="129"/>
      <c r="BE20" s="129"/>
      <c r="BF20" s="166"/>
      <c r="BG20" s="129"/>
      <c r="BH20" s="129"/>
      <c r="BI20" s="166"/>
      <c r="BJ20" s="129"/>
      <c r="BK20" s="129"/>
      <c r="BL20" s="166"/>
      <c r="BM20" s="129"/>
      <c r="BN20" s="129"/>
      <c r="BO20" s="166"/>
      <c r="BP20" s="129"/>
      <c r="BQ20" s="129"/>
      <c r="BR20" s="166"/>
      <c r="BS20" s="129"/>
      <c r="BT20" s="129"/>
      <c r="BU20" s="166"/>
      <c r="BV20" s="129"/>
      <c r="BW20" s="129"/>
      <c r="BX20" s="166"/>
      <c r="BY20" s="129"/>
      <c r="BZ20" s="129"/>
      <c r="CA20" s="166"/>
      <c r="CB20" s="129"/>
      <c r="CC20" s="129"/>
      <c r="CD20" s="166"/>
      <c r="CE20" s="129"/>
      <c r="CF20" s="129"/>
      <c r="CG20" s="166"/>
      <c r="CH20" s="129"/>
      <c r="CI20" s="129"/>
      <c r="CJ20" s="166"/>
      <c r="CK20" s="129"/>
      <c r="CL20" s="129"/>
      <c r="CM20" s="166"/>
      <c r="CN20" s="129"/>
      <c r="CO20" s="129"/>
      <c r="CP20" s="166"/>
      <c r="CQ20" s="129"/>
      <c r="CR20" s="129"/>
      <c r="CS20" s="166"/>
      <c r="CT20" s="129"/>
      <c r="CU20" s="129"/>
      <c r="CV20" s="166"/>
      <c r="CW20" s="231"/>
      <c r="CX20" s="132"/>
      <c r="CY20" s="74"/>
    </row>
    <row r="21" spans="1:103" ht="12" thickBot="1" x14ac:dyDescent="0.3">
      <c r="A21" s="31"/>
      <c r="B21" s="123" t="s">
        <v>59</v>
      </c>
      <c r="C21" s="140" t="s">
        <v>21</v>
      </c>
      <c r="D21" s="219">
        <v>93.757082280593835</v>
      </c>
      <c r="E21" s="220">
        <f>SUM(E14:E20)</f>
        <v>127900</v>
      </c>
      <c r="F21" s="220">
        <f>SUM(F14:F20)</f>
        <v>12063</v>
      </c>
      <c r="G21" s="164">
        <v>93.817500148211153</v>
      </c>
      <c r="H21" s="124">
        <v>4209.4430000000002</v>
      </c>
      <c r="I21" s="124">
        <v>380</v>
      </c>
      <c r="J21" s="164">
        <v>93.829934008229458</v>
      </c>
      <c r="K21" s="124">
        <v>4362.0720000000001</v>
      </c>
      <c r="L21" s="124">
        <v>396</v>
      </c>
      <c r="M21" s="164">
        <v>92.84</v>
      </c>
      <c r="N21" s="124">
        <v>4426.5770000000002</v>
      </c>
      <c r="O21" s="124">
        <v>377</v>
      </c>
      <c r="P21" s="164">
        <v>93.58</v>
      </c>
      <c r="Q21" s="124">
        <v>4555.5039999999999</v>
      </c>
      <c r="R21" s="124">
        <v>389</v>
      </c>
      <c r="S21" s="164">
        <v>93.33</v>
      </c>
      <c r="T21" s="124">
        <v>4449.2129999999997</v>
      </c>
      <c r="U21" s="124">
        <v>379</v>
      </c>
      <c r="V21" s="164">
        <v>92.53</v>
      </c>
      <c r="W21" s="124">
        <v>4512.5680000000002</v>
      </c>
      <c r="X21" s="124">
        <v>386</v>
      </c>
      <c r="Y21" s="164">
        <v>92.83</v>
      </c>
      <c r="Z21" s="124">
        <v>4748.4949999999999</v>
      </c>
      <c r="AA21" s="124">
        <v>403</v>
      </c>
      <c r="AB21" s="164">
        <v>91.5</v>
      </c>
      <c r="AC21" s="124">
        <v>4835.902</v>
      </c>
      <c r="AD21" s="124">
        <v>411</v>
      </c>
      <c r="AE21" s="164">
        <v>92.28</v>
      </c>
      <c r="AF21" s="124">
        <v>4954.9610000000002</v>
      </c>
      <c r="AG21" s="124">
        <v>423</v>
      </c>
      <c r="AH21" s="164">
        <v>93.9</v>
      </c>
      <c r="AI21" s="124">
        <v>4559.3090000000002</v>
      </c>
      <c r="AJ21" s="124">
        <v>387</v>
      </c>
      <c r="AK21" s="164">
        <v>92.73</v>
      </c>
      <c r="AL21" s="124">
        <v>4850.8230000000003</v>
      </c>
      <c r="AM21" s="124">
        <v>413</v>
      </c>
      <c r="AN21" s="164">
        <v>92.47</v>
      </c>
      <c r="AO21" s="124">
        <v>4454.2629999999999</v>
      </c>
      <c r="AP21" s="124">
        <v>380</v>
      </c>
      <c r="AQ21" s="164"/>
      <c r="AR21" s="124"/>
      <c r="AS21" s="124"/>
      <c r="AT21" s="164"/>
      <c r="AU21" s="124"/>
      <c r="AV21" s="124"/>
      <c r="AW21" s="164"/>
      <c r="AX21" s="124"/>
      <c r="AY21" s="124"/>
      <c r="AZ21" s="164"/>
      <c r="BA21" s="124"/>
      <c r="BB21" s="124"/>
      <c r="BC21" s="164"/>
      <c r="BD21" s="124"/>
      <c r="BE21" s="124"/>
      <c r="BF21" s="164"/>
      <c r="BG21" s="124"/>
      <c r="BH21" s="124"/>
      <c r="BI21" s="164"/>
      <c r="BJ21" s="124"/>
      <c r="BK21" s="124"/>
      <c r="BL21" s="164"/>
      <c r="BM21" s="124"/>
      <c r="BN21" s="124"/>
      <c r="BO21" s="164"/>
      <c r="BP21" s="124"/>
      <c r="BQ21" s="124"/>
      <c r="BR21" s="164"/>
      <c r="BS21" s="124"/>
      <c r="BT21" s="124"/>
      <c r="BU21" s="164"/>
      <c r="BV21" s="124"/>
      <c r="BW21" s="124"/>
      <c r="BX21" s="164"/>
      <c r="BY21" s="124"/>
      <c r="BZ21" s="124"/>
      <c r="CA21" s="164"/>
      <c r="CB21" s="124"/>
      <c r="CC21" s="124"/>
      <c r="CD21" s="164"/>
      <c r="CE21" s="124"/>
      <c r="CF21" s="124"/>
      <c r="CG21" s="164"/>
      <c r="CH21" s="124"/>
      <c r="CI21" s="124"/>
      <c r="CJ21" s="164"/>
      <c r="CK21" s="124"/>
      <c r="CL21" s="124"/>
      <c r="CM21" s="164"/>
      <c r="CN21" s="124"/>
      <c r="CO21" s="124"/>
      <c r="CP21" s="164"/>
      <c r="CQ21" s="124"/>
      <c r="CR21" s="124"/>
      <c r="CS21" s="164"/>
      <c r="CT21" s="124"/>
      <c r="CU21" s="124"/>
      <c r="CV21" s="164">
        <v>92.96</v>
      </c>
      <c r="CW21" s="249">
        <f>+H21+K21+N21+Q21+T21+W21+Z21+AC21+AF21+AI21+AL21+AO21</f>
        <v>54919.13</v>
      </c>
      <c r="CX21" s="250">
        <f>I21+L21+O21+R21+U21+X21+AD21+AG21+AJ21+AM21+AP21</f>
        <v>4321</v>
      </c>
      <c r="CY21" s="75">
        <f t="shared" ref="CY21:CY22" si="1">CV21-D21</f>
        <v>-0.79708228059384112</v>
      </c>
    </row>
    <row r="22" spans="1:103" ht="12" thickBot="1" x14ac:dyDescent="0.3">
      <c r="A22" s="31"/>
      <c r="B22" s="148" t="s">
        <v>60</v>
      </c>
      <c r="C22" s="149" t="s">
        <v>21</v>
      </c>
      <c r="D22" s="221">
        <v>93.121630931870129</v>
      </c>
      <c r="E22" s="222">
        <f>E10+E13+E21</f>
        <v>152300</v>
      </c>
      <c r="F22" s="222">
        <f>F10+F13+F21</f>
        <v>13958.274095582768</v>
      </c>
      <c r="G22" s="165">
        <v>93.325493378278807</v>
      </c>
      <c r="H22" s="150">
        <v>5074.2060000000001</v>
      </c>
      <c r="I22" s="150">
        <v>439</v>
      </c>
      <c r="J22" s="165">
        <v>92.942893599309954</v>
      </c>
      <c r="K22" s="150">
        <v>5305.7120000000004</v>
      </c>
      <c r="L22" s="150">
        <v>459</v>
      </c>
      <c r="M22" s="165">
        <v>92.3</v>
      </c>
      <c r="N22" s="150">
        <v>5397.0640000000003</v>
      </c>
      <c r="O22" s="150">
        <v>435</v>
      </c>
      <c r="P22" s="165">
        <v>92.89</v>
      </c>
      <c r="Q22" s="150">
        <v>5570.1170000000002</v>
      </c>
      <c r="R22" s="150">
        <v>452</v>
      </c>
      <c r="S22" s="165">
        <v>92.43</v>
      </c>
      <c r="T22" s="150">
        <v>5544.5129999999999</v>
      </c>
      <c r="U22" s="150">
        <v>447</v>
      </c>
      <c r="V22" s="165">
        <v>91.85</v>
      </c>
      <c r="W22" s="150">
        <v>5580.192</v>
      </c>
      <c r="X22" s="150">
        <v>451</v>
      </c>
      <c r="Y22" s="165">
        <v>92.23</v>
      </c>
      <c r="Z22" s="150">
        <v>5734.576</v>
      </c>
      <c r="AA22" s="150">
        <v>463</v>
      </c>
      <c r="AB22" s="165">
        <v>91.27</v>
      </c>
      <c r="AC22" s="150">
        <v>5893.6779999999999</v>
      </c>
      <c r="AD22" s="150">
        <v>476</v>
      </c>
      <c r="AE22" s="165">
        <v>91.88</v>
      </c>
      <c r="AF22" s="150">
        <v>6068.5550000000003</v>
      </c>
      <c r="AG22" s="150">
        <v>492</v>
      </c>
      <c r="AH22" s="165">
        <v>92.71</v>
      </c>
      <c r="AI22" s="150">
        <v>5619.8230000000003</v>
      </c>
      <c r="AJ22" s="150">
        <v>451</v>
      </c>
      <c r="AK22" s="165">
        <v>92.32</v>
      </c>
      <c r="AL22" s="150">
        <v>5904.0410000000002</v>
      </c>
      <c r="AM22" s="150">
        <v>476</v>
      </c>
      <c r="AN22" s="165">
        <v>91.92</v>
      </c>
      <c r="AO22" s="150">
        <v>5426.6350000000002</v>
      </c>
      <c r="AP22" s="150">
        <v>440</v>
      </c>
      <c r="AQ22" s="165"/>
      <c r="AR22" s="150"/>
      <c r="AS22" s="150"/>
      <c r="AT22" s="165"/>
      <c r="AU22" s="150"/>
      <c r="AV22" s="150"/>
      <c r="AW22" s="165"/>
      <c r="AX22" s="150"/>
      <c r="AY22" s="150"/>
      <c r="AZ22" s="165"/>
      <c r="BA22" s="150"/>
      <c r="BB22" s="150"/>
      <c r="BC22" s="165"/>
      <c r="BD22" s="150"/>
      <c r="BE22" s="150"/>
      <c r="BF22" s="165"/>
      <c r="BG22" s="150"/>
      <c r="BH22" s="150"/>
      <c r="BI22" s="165"/>
      <c r="BJ22" s="150"/>
      <c r="BK22" s="150"/>
      <c r="BL22" s="165"/>
      <c r="BM22" s="150"/>
      <c r="BN22" s="150"/>
      <c r="BO22" s="165"/>
      <c r="BP22" s="150"/>
      <c r="BQ22" s="150"/>
      <c r="BR22" s="165"/>
      <c r="BS22" s="150"/>
      <c r="BT22" s="150"/>
      <c r="BU22" s="165"/>
      <c r="BV22" s="150"/>
      <c r="BW22" s="150"/>
      <c r="BX22" s="165"/>
      <c r="BY22" s="150"/>
      <c r="BZ22" s="150"/>
      <c r="CA22" s="165"/>
      <c r="CB22" s="150"/>
      <c r="CC22" s="150"/>
      <c r="CD22" s="165"/>
      <c r="CE22" s="150"/>
      <c r="CF22" s="150"/>
      <c r="CG22" s="165"/>
      <c r="CH22" s="150"/>
      <c r="CI22" s="150"/>
      <c r="CJ22" s="165"/>
      <c r="CK22" s="150"/>
      <c r="CL22" s="150"/>
      <c r="CM22" s="165"/>
      <c r="CN22" s="150"/>
      <c r="CO22" s="150"/>
      <c r="CP22" s="165"/>
      <c r="CQ22" s="150"/>
      <c r="CR22" s="150"/>
      <c r="CS22" s="165"/>
      <c r="CT22" s="150"/>
      <c r="CU22" s="150"/>
      <c r="CV22" s="165">
        <v>92.33</v>
      </c>
      <c r="CW22" s="249">
        <f>+H22+K22+N22+Q22+T22+W22+Z22+AC22+AF22+AI22+AL22+AO22</f>
        <v>67119.111999999994</v>
      </c>
      <c r="CX22" s="250">
        <f>I22+L22+O22+R22+U22+X22+AD22+AG22+AJ22+AM22+AP22</f>
        <v>5018</v>
      </c>
      <c r="CY22" s="75">
        <f t="shared" si="1"/>
        <v>-0.79163093187013089</v>
      </c>
    </row>
    <row r="23" spans="1:103" ht="12" thickBot="1" x14ac:dyDescent="0.3">
      <c r="A23" s="29" t="s">
        <v>61</v>
      </c>
      <c r="B23" s="45" t="s">
        <v>41</v>
      </c>
      <c r="C23" s="167" t="s">
        <v>62</v>
      </c>
      <c r="D23" s="47"/>
      <c r="E23" s="48"/>
      <c r="F23" s="42"/>
      <c r="G23" s="223">
        <v>89.270072992700733</v>
      </c>
      <c r="H23" s="168">
        <v>237.262</v>
      </c>
      <c r="I23" s="169">
        <v>14</v>
      </c>
      <c r="J23" s="227">
        <v>86.866117016971572</v>
      </c>
      <c r="K23" s="168">
        <v>246.857</v>
      </c>
      <c r="L23" s="169">
        <v>15</v>
      </c>
      <c r="M23" s="227">
        <v>88.07</v>
      </c>
      <c r="N23" s="168">
        <v>302.512</v>
      </c>
      <c r="O23" s="169">
        <v>16</v>
      </c>
      <c r="P23" s="227">
        <v>88.39</v>
      </c>
      <c r="Q23" s="168">
        <v>321.49599999999998</v>
      </c>
      <c r="R23" s="169">
        <v>17</v>
      </c>
      <c r="S23" s="169">
        <v>85.95</v>
      </c>
      <c r="T23" s="168">
        <v>303.392</v>
      </c>
      <c r="U23" s="169">
        <v>16</v>
      </c>
      <c r="V23" s="169">
        <v>86.08</v>
      </c>
      <c r="W23" s="168">
        <v>225.71199999999999</v>
      </c>
      <c r="X23" s="169">
        <v>12</v>
      </c>
      <c r="Y23" s="169">
        <v>88.31</v>
      </c>
      <c r="Z23" s="168">
        <v>304.25099999999998</v>
      </c>
      <c r="AA23" s="169">
        <v>16</v>
      </c>
      <c r="AB23" s="169">
        <v>88.26</v>
      </c>
      <c r="AC23" s="168">
        <v>266.82299999999998</v>
      </c>
      <c r="AD23" s="169">
        <v>14</v>
      </c>
      <c r="AE23" s="169">
        <v>89.11</v>
      </c>
      <c r="AF23" s="168">
        <v>282.77999999999997</v>
      </c>
      <c r="AG23" s="169">
        <v>15</v>
      </c>
      <c r="AH23" s="169">
        <v>85.85</v>
      </c>
      <c r="AI23" s="168">
        <v>303.51799999999997</v>
      </c>
      <c r="AJ23" s="169">
        <v>16</v>
      </c>
      <c r="AK23" s="169">
        <v>89.26</v>
      </c>
      <c r="AL23" s="168">
        <v>264.87799999999999</v>
      </c>
      <c r="AM23" s="169">
        <v>14</v>
      </c>
      <c r="AN23" s="169">
        <v>87.25</v>
      </c>
      <c r="AO23" s="168">
        <v>303</v>
      </c>
      <c r="AP23" s="169">
        <v>16</v>
      </c>
      <c r="AQ23" s="169"/>
      <c r="AR23" s="168"/>
      <c r="AS23" s="169"/>
      <c r="AT23" s="169"/>
      <c r="AU23" s="168"/>
      <c r="AV23" s="169"/>
      <c r="AW23" s="169"/>
      <c r="AX23" s="168"/>
      <c r="AY23" s="169"/>
      <c r="AZ23" s="43"/>
      <c r="BA23" s="168"/>
      <c r="BB23" s="169"/>
      <c r="BC23" s="43"/>
      <c r="BD23" s="42"/>
      <c r="BE23" s="42"/>
      <c r="BF23" s="43"/>
      <c r="BG23" s="42"/>
      <c r="BH23" s="42"/>
      <c r="BI23" s="43"/>
      <c r="BJ23" s="42"/>
      <c r="BK23" s="42"/>
      <c r="BL23" s="43"/>
      <c r="BM23" s="42"/>
      <c r="BN23" s="42"/>
      <c r="BO23" s="43"/>
      <c r="BP23" s="42"/>
      <c r="BQ23" s="42"/>
      <c r="BR23" s="43"/>
      <c r="BS23" s="42"/>
      <c r="BT23" s="42"/>
      <c r="BU23" s="43"/>
      <c r="BV23" s="42"/>
      <c r="BW23" s="42"/>
      <c r="BX23" s="43"/>
      <c r="BY23" s="42"/>
      <c r="BZ23" s="42"/>
      <c r="CA23" s="43"/>
      <c r="CB23" s="42"/>
      <c r="CC23" s="42"/>
      <c r="CD23" s="43"/>
      <c r="CE23" s="42"/>
      <c r="CF23" s="42"/>
      <c r="CG23" s="43"/>
      <c r="CH23" s="42"/>
      <c r="CI23" s="42"/>
      <c r="CJ23" s="43"/>
      <c r="CK23" s="42"/>
      <c r="CL23" s="42"/>
      <c r="CM23" s="43"/>
      <c r="CN23" s="42"/>
      <c r="CO23" s="42"/>
      <c r="CP23" s="43"/>
      <c r="CQ23" s="42"/>
      <c r="CR23" s="42"/>
      <c r="CS23" s="43"/>
      <c r="CT23" s="42"/>
      <c r="CU23" s="42"/>
      <c r="CV23" s="243">
        <v>87.73</v>
      </c>
      <c r="CW23" s="42">
        <f>+H23+K23+N23+Q23+T23+W23+Z23+AC23+AF23+AI23+AL23+AO23</f>
        <v>3362.4810000000002</v>
      </c>
      <c r="CX23" s="125">
        <f>I23+L23+O23+R23+U23+X23+AD23+AG23+AJ23+AM23+AP23</f>
        <v>165</v>
      </c>
      <c r="CY23" s="74">
        <f t="shared" ref="CY23:CY29" si="2">CV23-D23</f>
        <v>87.73</v>
      </c>
    </row>
    <row r="24" spans="1:103" x14ac:dyDescent="0.25">
      <c r="A24" s="30"/>
      <c r="B24" s="49" t="s">
        <v>41</v>
      </c>
      <c r="C24" s="170" t="s">
        <v>63</v>
      </c>
      <c r="D24" s="25"/>
      <c r="E24" s="23"/>
      <c r="F24" s="10"/>
      <c r="G24" s="225">
        <v>91.833546869789558</v>
      </c>
      <c r="H24" s="172">
        <v>156.97200000000001</v>
      </c>
      <c r="I24" s="172">
        <v>9</v>
      </c>
      <c r="J24" s="229">
        <v>86.353727022219118</v>
      </c>
      <c r="K24" s="228">
        <v>198.054</v>
      </c>
      <c r="L24" s="172">
        <v>12</v>
      </c>
      <c r="M24" s="172">
        <v>87.33</v>
      </c>
      <c r="N24" s="173">
        <v>198.566</v>
      </c>
      <c r="O24" s="172">
        <v>12</v>
      </c>
      <c r="P24" s="172">
        <v>88.01</v>
      </c>
      <c r="Q24" s="172">
        <v>228</v>
      </c>
      <c r="R24" s="172">
        <v>12</v>
      </c>
      <c r="S24" s="171">
        <v>84.72</v>
      </c>
      <c r="T24" s="230">
        <v>178.054</v>
      </c>
      <c r="U24" s="171">
        <v>11</v>
      </c>
      <c r="V24" s="172">
        <v>86.44</v>
      </c>
      <c r="W24" s="173">
        <v>180.76599999999999</v>
      </c>
      <c r="X24" s="172">
        <v>11</v>
      </c>
      <c r="Y24" s="172">
        <v>85.26</v>
      </c>
      <c r="Z24" s="173">
        <v>147.17500000000001</v>
      </c>
      <c r="AA24" s="172">
        <v>9</v>
      </c>
      <c r="AB24" s="172">
        <v>89.74</v>
      </c>
      <c r="AC24" s="173">
        <v>51.131999999999998</v>
      </c>
      <c r="AD24" s="172">
        <v>3</v>
      </c>
      <c r="AE24" s="172">
        <v>88.43</v>
      </c>
      <c r="AF24" s="173">
        <v>151.89500000000001</v>
      </c>
      <c r="AG24" s="172">
        <v>9</v>
      </c>
      <c r="AH24" s="172">
        <v>86.2</v>
      </c>
      <c r="AI24" s="173">
        <v>131.03100000000001</v>
      </c>
      <c r="AJ24" s="172">
        <v>8</v>
      </c>
      <c r="AK24" s="172">
        <v>88.72</v>
      </c>
      <c r="AL24" s="173">
        <v>151.56800000000001</v>
      </c>
      <c r="AM24" s="172">
        <v>9</v>
      </c>
      <c r="AN24" s="172">
        <v>89.14</v>
      </c>
      <c r="AO24" s="173">
        <v>153.09200000000001</v>
      </c>
      <c r="AP24" s="172">
        <v>8</v>
      </c>
      <c r="AQ24" s="172"/>
      <c r="AR24" s="173"/>
      <c r="AS24" s="172"/>
      <c r="AT24" s="172"/>
      <c r="AU24" s="173"/>
      <c r="AV24" s="172"/>
      <c r="AW24" s="172"/>
      <c r="AX24" s="173"/>
      <c r="AY24" s="172"/>
      <c r="AZ24" s="164"/>
      <c r="BA24" s="174"/>
      <c r="BB24" s="172"/>
      <c r="BC24" s="44"/>
      <c r="BD24" s="10"/>
      <c r="BE24" s="10"/>
      <c r="BF24" s="44"/>
      <c r="BG24" s="10"/>
      <c r="BH24" s="10"/>
      <c r="BI24" s="44"/>
      <c r="BJ24" s="10"/>
      <c r="BK24" s="10"/>
      <c r="BL24" s="44"/>
      <c r="BM24" s="10"/>
      <c r="BN24" s="10"/>
      <c r="BO24" s="44"/>
      <c r="BP24" s="10"/>
      <c r="BQ24" s="10"/>
      <c r="BR24" s="44"/>
      <c r="BS24" s="10"/>
      <c r="BT24" s="10"/>
      <c r="BU24" s="44"/>
      <c r="BV24" s="10"/>
      <c r="BW24" s="10"/>
      <c r="BX24" s="44"/>
      <c r="BY24" s="10"/>
      <c r="BZ24" s="10"/>
      <c r="CA24" s="44"/>
      <c r="CB24" s="10"/>
      <c r="CC24" s="10"/>
      <c r="CD24" s="44"/>
      <c r="CE24" s="10"/>
      <c r="CF24" s="10"/>
      <c r="CG24" s="44"/>
      <c r="CH24" s="10"/>
      <c r="CI24" s="10"/>
      <c r="CJ24" s="44"/>
      <c r="CK24" s="10"/>
      <c r="CL24" s="10"/>
      <c r="CM24" s="44"/>
      <c r="CN24" s="10"/>
      <c r="CO24" s="10"/>
      <c r="CP24" s="44"/>
      <c r="CQ24" s="10"/>
      <c r="CR24" s="10"/>
      <c r="CS24" s="44"/>
      <c r="CT24" s="10"/>
      <c r="CU24" s="10"/>
      <c r="CV24" s="25">
        <v>87.476977790881406</v>
      </c>
      <c r="CW24" s="42">
        <f>+H24+K24+N24+Q24+T24+W24+Z24+AC24+AF24+AI24+AL24+AO24</f>
        <v>1926.3050000000001</v>
      </c>
      <c r="CX24" s="125">
        <f>I24+L24+O24+R24+U24+X24+AD24+AG24+AJ24+AM24+AP24</f>
        <v>104</v>
      </c>
      <c r="CY24" s="74">
        <f t="shared" si="2"/>
        <v>87.476977790881406</v>
      </c>
    </row>
    <row r="25" spans="1:103" ht="12" thickBot="1" x14ac:dyDescent="0.3">
      <c r="A25" s="30"/>
      <c r="B25" s="49" t="s">
        <v>41</v>
      </c>
      <c r="C25" s="170" t="s">
        <v>64</v>
      </c>
      <c r="D25" s="25"/>
      <c r="E25" s="23"/>
      <c r="F25" s="10"/>
      <c r="G25" s="225"/>
      <c r="H25" s="172"/>
      <c r="I25" s="172"/>
      <c r="J25" s="172"/>
      <c r="K25" s="172"/>
      <c r="L25" s="172"/>
      <c r="M25" s="172"/>
      <c r="N25" s="172"/>
      <c r="O25" s="172"/>
      <c r="P25" s="172"/>
      <c r="Q25" s="172"/>
      <c r="R25" s="172"/>
      <c r="S25" s="171"/>
      <c r="T25" s="171"/>
      <c r="U25" s="171"/>
      <c r="V25" s="172"/>
      <c r="W25" s="173"/>
      <c r="X25" s="172"/>
      <c r="Y25" s="172"/>
      <c r="Z25" s="173"/>
      <c r="AA25" s="172"/>
      <c r="AB25" s="172"/>
      <c r="AC25" s="173"/>
      <c r="AD25" s="172"/>
      <c r="AE25" s="172"/>
      <c r="AF25" s="173"/>
      <c r="AG25" s="172"/>
      <c r="AH25" s="172"/>
      <c r="AI25" s="173"/>
      <c r="AJ25" s="172"/>
      <c r="AK25" s="172"/>
      <c r="AL25" s="173"/>
      <c r="AM25" s="172"/>
      <c r="AN25" s="172"/>
      <c r="AO25" s="173"/>
      <c r="AP25" s="172"/>
      <c r="AQ25" s="172"/>
      <c r="AR25" s="173"/>
      <c r="AS25" s="172"/>
      <c r="AT25" s="172"/>
      <c r="AU25" s="173"/>
      <c r="AV25" s="172"/>
      <c r="AW25" s="172"/>
      <c r="AX25" s="173"/>
      <c r="AY25" s="172"/>
      <c r="AZ25" s="175"/>
      <c r="BA25" s="176"/>
      <c r="BB25" s="172"/>
      <c r="BC25" s="44"/>
      <c r="BD25" s="10"/>
      <c r="BE25" s="10"/>
      <c r="BF25" s="44"/>
      <c r="BG25" s="10"/>
      <c r="BH25" s="10"/>
      <c r="BI25" s="44"/>
      <c r="BJ25" s="10"/>
      <c r="BK25" s="10"/>
      <c r="BL25" s="44"/>
      <c r="BM25" s="10"/>
      <c r="BN25" s="10"/>
      <c r="BO25" s="44"/>
      <c r="BP25" s="10"/>
      <c r="BQ25" s="10"/>
      <c r="BR25" s="44"/>
      <c r="BS25" s="10"/>
      <c r="BT25" s="10"/>
      <c r="BU25" s="44"/>
      <c r="BV25" s="10"/>
      <c r="BW25" s="10"/>
      <c r="BX25" s="9"/>
      <c r="BY25" s="9"/>
      <c r="BZ25" s="9"/>
      <c r="CA25" s="44"/>
      <c r="CB25" s="10"/>
      <c r="CC25" s="10"/>
      <c r="CD25" s="44"/>
      <c r="CE25" s="10"/>
      <c r="CF25" s="10"/>
      <c r="CG25" s="44"/>
      <c r="CH25" s="10"/>
      <c r="CI25" s="10"/>
      <c r="CJ25" s="44"/>
      <c r="CK25" s="10"/>
      <c r="CL25" s="10"/>
      <c r="CM25" s="44"/>
      <c r="CN25" s="10"/>
      <c r="CO25" s="10"/>
      <c r="CP25" s="44"/>
      <c r="CQ25" s="10"/>
      <c r="CR25" s="10"/>
      <c r="CS25" s="44"/>
      <c r="CT25" s="10"/>
      <c r="CU25" s="10"/>
      <c r="CV25" s="25"/>
      <c r="CW25" s="22"/>
      <c r="CX25" s="126"/>
      <c r="CY25" s="74"/>
    </row>
    <row r="26" spans="1:103" ht="12" thickBot="1" x14ac:dyDescent="0.3">
      <c r="A26" s="30"/>
      <c r="B26" s="49" t="s">
        <v>56</v>
      </c>
      <c r="C26" s="170" t="s">
        <v>65</v>
      </c>
      <c r="D26" s="25"/>
      <c r="E26" s="23"/>
      <c r="F26" s="10"/>
      <c r="G26" s="225">
        <v>92.71536295377156</v>
      </c>
      <c r="H26" s="173">
        <v>1095.394</v>
      </c>
      <c r="I26" s="172">
        <v>102</v>
      </c>
      <c r="J26" s="172">
        <v>93.409200792583931</v>
      </c>
      <c r="K26" s="173">
        <v>1336.9359999999999</v>
      </c>
      <c r="L26" s="172">
        <v>124</v>
      </c>
      <c r="M26" s="164">
        <v>91.63</v>
      </c>
      <c r="N26" s="173">
        <v>1257.4939999999999</v>
      </c>
      <c r="O26" s="172">
        <v>109</v>
      </c>
      <c r="P26" s="172">
        <v>92.9</v>
      </c>
      <c r="Q26" s="173">
        <v>1212.394</v>
      </c>
      <c r="R26" s="172">
        <v>105</v>
      </c>
      <c r="S26" s="172">
        <v>92.76</v>
      </c>
      <c r="T26" s="173">
        <v>1456.9649999999999</v>
      </c>
      <c r="U26" s="172">
        <v>126</v>
      </c>
      <c r="V26" s="172">
        <v>93.43</v>
      </c>
      <c r="W26" s="173">
        <v>1330.7349999999999</v>
      </c>
      <c r="X26" s="172">
        <v>115</v>
      </c>
      <c r="Y26" s="172">
        <v>92.93</v>
      </c>
      <c r="Z26" s="173">
        <v>1906.8779999999999</v>
      </c>
      <c r="AA26" s="172">
        <v>165</v>
      </c>
      <c r="AB26" s="172">
        <v>92.91</v>
      </c>
      <c r="AC26" s="173">
        <v>1144.348</v>
      </c>
      <c r="AD26" s="172">
        <v>99</v>
      </c>
      <c r="AE26" s="172">
        <v>94.73</v>
      </c>
      <c r="AF26" s="173">
        <v>1180.7950000000001</v>
      </c>
      <c r="AG26" s="172">
        <v>102</v>
      </c>
      <c r="AH26" s="172">
        <v>94.36</v>
      </c>
      <c r="AI26" s="173">
        <v>1690.8910000000001</v>
      </c>
      <c r="AJ26" s="172">
        <v>146</v>
      </c>
      <c r="AK26" s="172">
        <v>93.93</v>
      </c>
      <c r="AL26" s="173">
        <v>1330.7249999999999</v>
      </c>
      <c r="AM26" s="172">
        <v>115</v>
      </c>
      <c r="AN26" s="172">
        <v>94.72</v>
      </c>
      <c r="AO26" s="173">
        <v>1203.2070000000001</v>
      </c>
      <c r="AP26" s="172">
        <v>104</v>
      </c>
      <c r="AQ26" s="172"/>
      <c r="AR26" s="173"/>
      <c r="AS26" s="172"/>
      <c r="AT26" s="172"/>
      <c r="AU26" s="173"/>
      <c r="AV26" s="172"/>
      <c r="AW26" s="172"/>
      <c r="AX26" s="173"/>
      <c r="AY26" s="172"/>
      <c r="AZ26" s="164"/>
      <c r="BA26" s="120"/>
      <c r="BB26" s="177"/>
      <c r="BC26" s="44"/>
      <c r="BD26" s="10"/>
      <c r="BE26" s="10"/>
      <c r="BF26" s="44"/>
      <c r="BG26" s="10"/>
      <c r="BH26" s="10"/>
      <c r="BI26" s="44"/>
      <c r="BJ26" s="10"/>
      <c r="BK26" s="10"/>
      <c r="BL26" s="44"/>
      <c r="BM26" s="10"/>
      <c r="BN26" s="10"/>
      <c r="BO26" s="44"/>
      <c r="BP26" s="10"/>
      <c r="BQ26" s="10"/>
      <c r="BR26" s="44"/>
      <c r="BS26" s="10"/>
      <c r="BT26" s="10"/>
      <c r="BU26" s="44"/>
      <c r="BV26" s="10"/>
      <c r="BW26" s="10"/>
      <c r="BX26" s="44"/>
      <c r="BY26" s="10"/>
      <c r="BZ26" s="10"/>
      <c r="CA26" s="44"/>
      <c r="CB26" s="10"/>
      <c r="CC26" s="10"/>
      <c r="CD26" s="44"/>
      <c r="CE26" s="10"/>
      <c r="CF26" s="10"/>
      <c r="CG26" s="44"/>
      <c r="CH26" s="10"/>
      <c r="CI26" s="10"/>
      <c r="CJ26" s="44"/>
      <c r="CK26" s="10"/>
      <c r="CL26" s="10"/>
      <c r="CM26" s="44"/>
      <c r="CN26" s="10"/>
      <c r="CO26" s="10"/>
      <c r="CP26" s="44"/>
      <c r="CQ26" s="10"/>
      <c r="CR26" s="10"/>
      <c r="CS26" s="44"/>
      <c r="CT26" s="10"/>
      <c r="CU26" s="10"/>
      <c r="CV26" s="25">
        <v>93.37</v>
      </c>
      <c r="CW26" s="42">
        <f>+H26+K26+N26+Q26+T26+W26+Z26+AC26+AF26+AI26+AL26+AO26</f>
        <v>16146.762000000001</v>
      </c>
      <c r="CX26" s="125">
        <f>I26+L26+O26+R26+U26+X26+AD26+AG26+AJ26+AM26+AP26</f>
        <v>1247</v>
      </c>
      <c r="CY26" s="74">
        <f t="shared" si="2"/>
        <v>93.37</v>
      </c>
    </row>
    <row r="27" spans="1:103" x14ac:dyDescent="0.25">
      <c r="A27" s="30"/>
      <c r="B27" s="49" t="s">
        <v>52</v>
      </c>
      <c r="C27" s="170" t="s">
        <v>66</v>
      </c>
      <c r="D27" s="25"/>
      <c r="E27" s="23"/>
      <c r="F27" s="10"/>
      <c r="G27" s="224"/>
      <c r="H27" s="171"/>
      <c r="I27" s="171"/>
      <c r="J27" s="172"/>
      <c r="K27" s="173"/>
      <c r="L27" s="172"/>
      <c r="M27" s="172"/>
      <c r="N27" s="173"/>
      <c r="O27" s="172"/>
      <c r="P27" s="172"/>
      <c r="Q27" s="173"/>
      <c r="R27" s="172"/>
      <c r="S27" s="171"/>
      <c r="T27" s="171"/>
      <c r="U27" s="171"/>
      <c r="V27" s="172">
        <v>73.709999999999994</v>
      </c>
      <c r="W27" s="173">
        <v>85.429000000000002</v>
      </c>
      <c r="X27" s="172">
        <v>10</v>
      </c>
      <c r="Y27" s="171">
        <v>73.510000000000005</v>
      </c>
      <c r="Z27" s="230">
        <v>59.534999999999997</v>
      </c>
      <c r="AA27" s="171">
        <v>7</v>
      </c>
      <c r="AB27" s="171">
        <v>81.180000000000007</v>
      </c>
      <c r="AC27" s="230">
        <v>291.33199999999999</v>
      </c>
      <c r="AD27" s="171">
        <v>31</v>
      </c>
      <c r="AE27" s="171">
        <v>77.650000000000006</v>
      </c>
      <c r="AF27" s="230">
        <v>90.094999999999999</v>
      </c>
      <c r="AG27" s="171">
        <v>10</v>
      </c>
      <c r="AH27" s="172">
        <v>78.650000000000006</v>
      </c>
      <c r="AI27" s="228">
        <v>27.370999999999999</v>
      </c>
      <c r="AJ27" s="172">
        <v>4</v>
      </c>
      <c r="AK27" s="172">
        <v>74.040000000000006</v>
      </c>
      <c r="AL27" s="228">
        <v>162.50700000000001</v>
      </c>
      <c r="AM27" s="172">
        <v>19</v>
      </c>
      <c r="AN27" s="172">
        <v>64.430000000000007</v>
      </c>
      <c r="AO27" s="228">
        <v>141.827</v>
      </c>
      <c r="AP27" s="172">
        <v>19</v>
      </c>
      <c r="AQ27" s="172"/>
      <c r="AR27" s="173"/>
      <c r="AS27" s="172"/>
      <c r="AT27" s="172"/>
      <c r="AU27" s="173"/>
      <c r="AV27" s="172"/>
      <c r="AW27" s="172"/>
      <c r="AX27" s="173"/>
      <c r="AY27" s="172"/>
      <c r="AZ27" s="164"/>
      <c r="BA27" s="178"/>
      <c r="BB27" s="172"/>
      <c r="BC27" s="44"/>
      <c r="BD27" s="10"/>
      <c r="BE27" s="10"/>
      <c r="BF27" s="44"/>
      <c r="BG27" s="10"/>
      <c r="BH27" s="10"/>
      <c r="BI27" s="44"/>
      <c r="BJ27" s="10"/>
      <c r="BK27" s="10"/>
      <c r="BL27" s="44"/>
      <c r="BM27" s="10"/>
      <c r="BN27" s="10"/>
      <c r="BO27" s="44"/>
      <c r="BP27" s="10"/>
      <c r="BQ27" s="10"/>
      <c r="BR27" s="44"/>
      <c r="BS27" s="10"/>
      <c r="BT27" s="10"/>
      <c r="BU27" s="44"/>
      <c r="BV27" s="10"/>
      <c r="BW27" s="10"/>
      <c r="BX27" s="44"/>
      <c r="BY27" s="10"/>
      <c r="BZ27" s="10"/>
      <c r="CA27" s="44"/>
      <c r="CB27" s="10"/>
      <c r="CC27" s="10"/>
      <c r="CD27" s="44"/>
      <c r="CE27" s="10"/>
      <c r="CF27" s="10"/>
      <c r="CG27" s="44"/>
      <c r="CH27" s="10"/>
      <c r="CI27" s="10"/>
      <c r="CJ27" s="44"/>
      <c r="CK27" s="10"/>
      <c r="CL27" s="10"/>
      <c r="CM27" s="44"/>
      <c r="CN27" s="10"/>
      <c r="CO27" s="10"/>
      <c r="CP27" s="44"/>
      <c r="CQ27" s="10"/>
      <c r="CR27" s="10"/>
      <c r="CS27" s="44"/>
      <c r="CT27" s="10"/>
      <c r="CU27" s="10"/>
      <c r="CV27" s="244">
        <v>74.86</v>
      </c>
      <c r="CW27" s="42">
        <f>+H27+K27+N27+Q27+T27+W27+Z27+AC27+AF27+AI27+AL27+AO27</f>
        <v>858.096</v>
      </c>
      <c r="CX27" s="125">
        <f>I27+L27+O27+R27+U27+X27+AD27+AG27+AJ27+AM27+AP27</f>
        <v>93</v>
      </c>
      <c r="CY27" s="74">
        <f t="shared" si="2"/>
        <v>74.86</v>
      </c>
    </row>
    <row r="28" spans="1:103" ht="12" thickBot="1" x14ac:dyDescent="0.3">
      <c r="A28" s="30"/>
      <c r="B28" s="49" t="s">
        <v>52</v>
      </c>
      <c r="C28" s="170" t="s">
        <v>67</v>
      </c>
      <c r="D28" s="163"/>
      <c r="E28" s="163"/>
      <c r="F28" s="163"/>
      <c r="G28" s="224"/>
      <c r="H28" s="171"/>
      <c r="I28" s="171"/>
      <c r="J28" s="171"/>
      <c r="K28" s="171"/>
      <c r="L28" s="171"/>
      <c r="M28" s="172"/>
      <c r="N28" s="172"/>
      <c r="O28" s="172"/>
      <c r="P28" s="172"/>
      <c r="Q28" s="172"/>
      <c r="R28" s="172"/>
      <c r="S28" s="171"/>
      <c r="T28" s="171"/>
      <c r="U28" s="171"/>
      <c r="V28" s="171"/>
      <c r="W28" s="171"/>
      <c r="X28" s="171"/>
      <c r="Y28" s="171"/>
      <c r="Z28" s="171"/>
      <c r="AA28" s="171"/>
      <c r="AB28" s="171"/>
      <c r="AC28" s="171"/>
      <c r="AD28" s="171"/>
      <c r="AE28" s="171"/>
      <c r="AF28" s="171"/>
      <c r="AG28" s="171"/>
      <c r="AH28" s="171"/>
      <c r="AI28" s="171"/>
      <c r="AJ28" s="171"/>
      <c r="AK28" s="171"/>
      <c r="AL28" s="171"/>
      <c r="AM28" s="171"/>
      <c r="AN28" s="171"/>
      <c r="AO28" s="171"/>
      <c r="AP28" s="171"/>
      <c r="AQ28" s="171"/>
      <c r="AR28" s="171"/>
      <c r="AS28" s="171"/>
      <c r="AT28" s="171"/>
      <c r="AU28" s="171"/>
      <c r="AV28" s="171"/>
      <c r="AW28" s="171"/>
      <c r="AX28" s="171"/>
      <c r="AY28" s="171"/>
      <c r="AZ28" s="164"/>
      <c r="BA28" s="171"/>
      <c r="BB28" s="171"/>
      <c r="BC28" s="161"/>
      <c r="BD28" s="162"/>
      <c r="BE28" s="162"/>
      <c r="BF28" s="44"/>
      <c r="BG28" s="10"/>
      <c r="BH28" s="10"/>
      <c r="BI28" s="161"/>
      <c r="BJ28" s="162"/>
      <c r="BK28" s="162"/>
      <c r="BL28" s="44"/>
      <c r="BM28" s="10"/>
      <c r="BN28" s="10"/>
      <c r="BO28" s="44"/>
      <c r="BP28" s="10"/>
      <c r="BQ28" s="10"/>
      <c r="BR28" s="44"/>
      <c r="BS28" s="10"/>
      <c r="BT28" s="10"/>
      <c r="BU28" s="44"/>
      <c r="BV28" s="10"/>
      <c r="BX28" s="44"/>
      <c r="BY28" s="10"/>
      <c r="BZ28" s="10"/>
      <c r="CA28" s="44"/>
      <c r="CB28" s="10"/>
      <c r="CC28" s="10"/>
      <c r="CD28" s="44"/>
      <c r="CE28" s="10"/>
      <c r="CF28" s="10"/>
      <c r="CG28" s="44"/>
      <c r="CH28" s="10"/>
      <c r="CI28" s="10"/>
      <c r="CJ28" s="44"/>
      <c r="CK28" s="10"/>
      <c r="CL28" s="10"/>
      <c r="CM28" s="44"/>
      <c r="CN28" s="10"/>
      <c r="CO28" s="10"/>
      <c r="CP28" s="44"/>
      <c r="CQ28" s="10"/>
      <c r="CR28" s="10"/>
      <c r="CS28" s="44"/>
      <c r="CT28" s="10"/>
      <c r="CU28" s="10"/>
      <c r="CV28" s="163"/>
      <c r="CW28" s="22"/>
      <c r="CX28" s="126"/>
      <c r="CY28" s="74"/>
    </row>
    <row r="29" spans="1:103" ht="12" thickBot="1" x14ac:dyDescent="0.3">
      <c r="A29" s="179"/>
      <c r="B29" s="180" t="s">
        <v>52</v>
      </c>
      <c r="C29" s="181" t="s">
        <v>68</v>
      </c>
      <c r="D29" s="131"/>
      <c r="E29" s="147"/>
      <c r="F29" s="129"/>
      <c r="G29" s="226">
        <v>91.815511233215588</v>
      </c>
      <c r="H29" s="182">
        <v>771.99400000000003</v>
      </c>
      <c r="I29" s="183">
        <v>73</v>
      </c>
      <c r="J29" s="183">
        <v>91.941058915353665</v>
      </c>
      <c r="K29" s="182">
        <v>643.16999999999996</v>
      </c>
      <c r="L29" s="183">
        <v>61</v>
      </c>
      <c r="M29" s="183">
        <v>92.86</v>
      </c>
      <c r="N29" s="182">
        <v>595.17899999999997</v>
      </c>
      <c r="O29" s="183">
        <v>56</v>
      </c>
      <c r="P29" s="183">
        <v>92.4</v>
      </c>
      <c r="Q29" s="182">
        <v>883</v>
      </c>
      <c r="R29" s="183">
        <v>77</v>
      </c>
      <c r="S29" s="183">
        <v>91.75</v>
      </c>
      <c r="T29" s="182">
        <v>644.00099999999998</v>
      </c>
      <c r="U29" s="183">
        <v>61</v>
      </c>
      <c r="V29" s="183">
        <v>91.97</v>
      </c>
      <c r="W29" s="182">
        <v>741.01</v>
      </c>
      <c r="X29" s="183">
        <v>70</v>
      </c>
      <c r="Y29" s="183">
        <v>92.5</v>
      </c>
      <c r="Z29" s="182">
        <v>817.49099999999999</v>
      </c>
      <c r="AA29" s="183">
        <v>77</v>
      </c>
      <c r="AB29" s="183">
        <v>90.08</v>
      </c>
      <c r="AC29" s="182">
        <v>665.55700000000002</v>
      </c>
      <c r="AD29" s="183">
        <v>64</v>
      </c>
      <c r="AE29" s="183">
        <v>90.75</v>
      </c>
      <c r="AF29" s="182">
        <v>618.00199999999995</v>
      </c>
      <c r="AG29" s="183">
        <v>59</v>
      </c>
      <c r="AH29" s="183">
        <v>92.62</v>
      </c>
      <c r="AI29" s="182">
        <v>438.74700000000001</v>
      </c>
      <c r="AJ29" s="183">
        <v>41</v>
      </c>
      <c r="AK29" s="183">
        <v>92.71</v>
      </c>
      <c r="AL29" s="182">
        <v>642.39</v>
      </c>
      <c r="AM29" s="183">
        <v>60</v>
      </c>
      <c r="AN29" s="183">
        <v>93.8</v>
      </c>
      <c r="AO29" s="182">
        <v>679.77800000000002</v>
      </c>
      <c r="AP29" s="183">
        <v>63</v>
      </c>
      <c r="AQ29" s="183"/>
      <c r="AR29" s="182"/>
      <c r="AS29" s="183"/>
      <c r="AT29" s="183"/>
      <c r="AU29" s="182"/>
      <c r="AV29" s="183"/>
      <c r="AW29" s="183"/>
      <c r="AX29" s="182"/>
      <c r="AY29" s="183"/>
      <c r="AZ29" s="166"/>
      <c r="BA29" s="182"/>
      <c r="BB29" s="183"/>
      <c r="BC29" s="130"/>
      <c r="BD29" s="129"/>
      <c r="BE29" s="129"/>
      <c r="BF29" s="130"/>
      <c r="BG29" s="129"/>
      <c r="BH29" s="129"/>
      <c r="BI29" s="130"/>
      <c r="BJ29" s="129"/>
      <c r="BK29" s="129"/>
      <c r="BL29" s="130"/>
      <c r="BM29" s="129"/>
      <c r="BN29" s="129"/>
      <c r="BO29" s="130"/>
      <c r="BP29" s="129"/>
      <c r="BQ29" s="129"/>
      <c r="BR29" s="130"/>
      <c r="BS29" s="129"/>
      <c r="BT29" s="129"/>
      <c r="BU29" s="130"/>
      <c r="BV29" s="129"/>
      <c r="BW29" s="129"/>
      <c r="BX29" s="130"/>
      <c r="BY29" s="129"/>
      <c r="BZ29" s="129"/>
      <c r="CA29" s="130"/>
      <c r="CB29" s="129"/>
      <c r="CC29" s="129"/>
      <c r="CD29" s="130"/>
      <c r="CE29" s="129"/>
      <c r="CF29" s="129"/>
      <c r="CG29" s="130"/>
      <c r="CH29" s="129"/>
      <c r="CI29" s="129"/>
      <c r="CJ29" s="130"/>
      <c r="CK29" s="129"/>
      <c r="CL29" s="129"/>
      <c r="CM29" s="130"/>
      <c r="CN29" s="129"/>
      <c r="CO29" s="129"/>
      <c r="CP29" s="130"/>
      <c r="CQ29" s="129"/>
      <c r="CR29" s="129"/>
      <c r="CS29" s="130"/>
      <c r="CT29" s="129"/>
      <c r="CU29" s="129"/>
      <c r="CV29" s="131">
        <v>92.09</v>
      </c>
      <c r="CW29" s="42">
        <f>+H29+K29+N29+Q29+T29+W29+Z29+AC29+AF29+AI29+AL29+AO29</f>
        <v>8140.3190000000013</v>
      </c>
      <c r="CX29" s="125">
        <f>I29+L29+O29+R29+U29+X29+AD29+AG29+AJ29+AM29+AP29</f>
        <v>685</v>
      </c>
      <c r="CY29" s="74">
        <f t="shared" si="2"/>
        <v>92.09</v>
      </c>
    </row>
    <row r="33" spans="1:103" ht="11.9" customHeight="1" x14ac:dyDescent="0.25"/>
    <row r="34" spans="1:103" ht="14.5" x14ac:dyDescent="0.35">
      <c r="A34" s="119" t="s">
        <v>69</v>
      </c>
      <c r="B34" s="265" t="s">
        <v>70</v>
      </c>
      <c r="C34" s="193" t="s">
        <v>71</v>
      </c>
      <c r="D34" s="312" t="s">
        <v>72</v>
      </c>
      <c r="E34" s="313"/>
      <c r="F34" s="313"/>
      <c r="G34" s="312" t="s">
        <v>73</v>
      </c>
      <c r="H34" s="313"/>
      <c r="I34" s="312" t="s">
        <v>74</v>
      </c>
      <c r="J34" s="313"/>
      <c r="K34" s="313"/>
      <c r="L34" s="313"/>
      <c r="M34" s="313"/>
      <c r="N34" s="313"/>
      <c r="O34" s="314"/>
      <c r="P34" s="313" t="s">
        <v>75</v>
      </c>
      <c r="Q34" s="314"/>
      <c r="CU34"/>
    </row>
    <row r="35" spans="1:103" ht="103.5" customHeight="1" x14ac:dyDescent="0.35">
      <c r="A35" s="266">
        <v>46246</v>
      </c>
      <c r="B35" s="262" t="s">
        <v>76</v>
      </c>
      <c r="C35" s="263" t="s">
        <v>77</v>
      </c>
      <c r="D35" s="274" t="s">
        <v>78</v>
      </c>
      <c r="E35" s="275"/>
      <c r="F35" s="276"/>
      <c r="G35" s="286" t="s">
        <v>79</v>
      </c>
      <c r="H35" s="276"/>
      <c r="I35" s="285" t="s">
        <v>80</v>
      </c>
      <c r="J35" s="275"/>
      <c r="K35" s="275"/>
      <c r="L35" s="275"/>
      <c r="M35" s="275"/>
      <c r="N35" s="275"/>
      <c r="O35" s="275"/>
      <c r="P35" s="281">
        <v>46248</v>
      </c>
      <c r="Q35" s="282"/>
      <c r="CU35"/>
    </row>
    <row r="36" spans="1:103" ht="132.75" customHeight="1" x14ac:dyDescent="0.35">
      <c r="A36" s="245"/>
      <c r="B36" s="264" t="s">
        <v>81</v>
      </c>
      <c r="C36" s="261" t="s">
        <v>82</v>
      </c>
      <c r="D36" s="274" t="s">
        <v>83</v>
      </c>
      <c r="E36" s="275"/>
      <c r="F36" s="276"/>
      <c r="G36" s="286" t="s">
        <v>84</v>
      </c>
      <c r="H36" s="276"/>
      <c r="I36" s="274" t="s">
        <v>85</v>
      </c>
      <c r="J36" s="275"/>
      <c r="K36" s="275"/>
      <c r="L36" s="275"/>
      <c r="M36" s="275"/>
      <c r="N36" s="275"/>
      <c r="O36" s="275"/>
      <c r="P36" s="281">
        <v>46252</v>
      </c>
      <c r="Q36" s="282"/>
      <c r="CU36"/>
    </row>
    <row r="37" spans="1:103" ht="122.25" customHeight="1" x14ac:dyDescent="0.25">
      <c r="A37" s="245"/>
      <c r="B37" s="246" t="s">
        <v>86</v>
      </c>
      <c r="C37" s="247" t="s">
        <v>87</v>
      </c>
      <c r="D37" s="274" t="s">
        <v>88</v>
      </c>
      <c r="E37" s="275"/>
      <c r="F37" s="276"/>
      <c r="G37" s="277" t="s">
        <v>89</v>
      </c>
      <c r="H37" s="278"/>
      <c r="I37" s="279" t="s">
        <v>90</v>
      </c>
      <c r="J37" s="280"/>
      <c r="K37" s="280"/>
      <c r="L37" s="280"/>
      <c r="M37" s="280"/>
      <c r="N37" s="280"/>
      <c r="O37" s="278"/>
      <c r="P37" s="281">
        <v>46248</v>
      </c>
      <c r="Q37" s="282"/>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c r="BJ37" s="248"/>
      <c r="BK37" s="248"/>
      <c r="BL37" s="248"/>
      <c r="BM37" s="248"/>
      <c r="BN37" s="248"/>
      <c r="BO37" s="248"/>
      <c r="BP37" s="248"/>
      <c r="BQ37" s="248"/>
      <c r="BR37" s="248"/>
      <c r="BS37" s="248"/>
      <c r="BT37" s="248"/>
      <c r="BU37" s="248"/>
      <c r="BV37" s="248"/>
      <c r="BW37" s="248"/>
      <c r="BX37" s="248"/>
      <c r="BY37" s="248"/>
      <c r="BZ37" s="248"/>
      <c r="CA37" s="248"/>
      <c r="CB37" s="248"/>
      <c r="CC37" s="248"/>
      <c r="CD37" s="248"/>
      <c r="CE37" s="248"/>
      <c r="CF37" s="248"/>
      <c r="CG37" s="248"/>
      <c r="CH37" s="248"/>
      <c r="CI37" s="248"/>
      <c r="CJ37" s="248"/>
      <c r="CK37" s="248"/>
      <c r="CL37" s="248"/>
      <c r="CM37" s="248"/>
      <c r="CN37" s="248"/>
      <c r="CO37" s="248"/>
      <c r="CP37" s="248"/>
      <c r="CQ37" s="248"/>
      <c r="CR37" s="248"/>
      <c r="CS37" s="248"/>
      <c r="CT37" s="248"/>
      <c r="CU37" s="248"/>
      <c r="CV37" s="248"/>
      <c r="CW37" s="248"/>
      <c r="CX37" s="248"/>
      <c r="CY37" s="248"/>
    </row>
    <row r="38" spans="1:103" ht="87" customHeight="1" x14ac:dyDescent="0.25">
      <c r="A38" s="245"/>
      <c r="B38" s="246" t="s">
        <v>91</v>
      </c>
      <c r="C38" s="247" t="s">
        <v>92</v>
      </c>
      <c r="D38" s="283" t="s">
        <v>93</v>
      </c>
      <c r="E38" s="280"/>
      <c r="F38" s="278"/>
      <c r="G38" s="277" t="s">
        <v>89</v>
      </c>
      <c r="H38" s="278"/>
      <c r="I38" s="279" t="s">
        <v>94</v>
      </c>
      <c r="J38" s="280"/>
      <c r="K38" s="280"/>
      <c r="L38" s="280"/>
      <c r="M38" s="280"/>
      <c r="N38" s="280"/>
      <c r="O38" s="278"/>
      <c r="P38" s="281" t="s">
        <v>95</v>
      </c>
      <c r="Q38" s="282"/>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8"/>
      <c r="BC38" s="248"/>
      <c r="BD38" s="248"/>
      <c r="BE38" s="248"/>
      <c r="BF38" s="248"/>
      <c r="BG38" s="248"/>
      <c r="BH38" s="248"/>
      <c r="BI38" s="248"/>
      <c r="BJ38" s="248"/>
      <c r="BK38" s="248"/>
      <c r="BL38" s="248"/>
      <c r="BM38" s="248"/>
      <c r="BN38" s="248"/>
      <c r="BO38" s="248"/>
      <c r="BP38" s="248"/>
      <c r="BQ38" s="248"/>
      <c r="BR38" s="248"/>
      <c r="BS38" s="248"/>
      <c r="BT38" s="248"/>
      <c r="BU38" s="248"/>
      <c r="BV38" s="248"/>
      <c r="BW38" s="248"/>
      <c r="BX38" s="248"/>
      <c r="BY38" s="248"/>
      <c r="BZ38" s="248"/>
      <c r="CA38" s="248"/>
      <c r="CB38" s="248"/>
      <c r="CC38" s="248"/>
      <c r="CD38" s="248"/>
      <c r="CE38" s="248"/>
      <c r="CF38" s="248"/>
      <c r="CG38" s="248"/>
      <c r="CH38" s="248"/>
      <c r="CI38" s="248"/>
      <c r="CJ38" s="248"/>
      <c r="CK38" s="248"/>
      <c r="CL38" s="248"/>
      <c r="CM38" s="248"/>
      <c r="CN38" s="248"/>
      <c r="CO38" s="248"/>
      <c r="CP38" s="248"/>
      <c r="CQ38" s="248"/>
      <c r="CR38" s="248"/>
      <c r="CS38" s="248"/>
      <c r="CT38" s="248"/>
      <c r="CU38" s="248"/>
      <c r="CV38" s="248"/>
      <c r="CW38" s="248"/>
      <c r="CX38" s="248"/>
      <c r="CY38" s="248"/>
    </row>
    <row r="39" spans="1:103" ht="60.75" customHeight="1" x14ac:dyDescent="0.25">
      <c r="A39" s="245"/>
      <c r="B39" s="246" t="s">
        <v>96</v>
      </c>
      <c r="C39" s="247" t="s">
        <v>97</v>
      </c>
      <c r="D39" s="279" t="s">
        <v>98</v>
      </c>
      <c r="E39" s="280"/>
      <c r="F39" s="278"/>
      <c r="G39" s="284" t="s">
        <v>99</v>
      </c>
      <c r="H39" s="284"/>
      <c r="I39" s="279" t="s">
        <v>100</v>
      </c>
      <c r="J39" s="280"/>
      <c r="K39" s="280"/>
      <c r="L39" s="280"/>
      <c r="M39" s="280"/>
      <c r="N39" s="280"/>
      <c r="O39" s="278"/>
      <c r="P39" s="281">
        <v>46248</v>
      </c>
      <c r="Q39" s="282"/>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8"/>
      <c r="BC39" s="248"/>
      <c r="BD39" s="248"/>
      <c r="BE39" s="248"/>
      <c r="BF39" s="248"/>
      <c r="BG39" s="248"/>
      <c r="BH39" s="248"/>
      <c r="BI39" s="248"/>
      <c r="BJ39" s="248"/>
      <c r="BK39" s="248"/>
      <c r="BL39" s="248"/>
      <c r="BM39" s="248"/>
      <c r="BN39" s="248"/>
      <c r="BO39" s="248"/>
      <c r="BP39" s="248"/>
      <c r="BQ39" s="248"/>
      <c r="BR39" s="248"/>
      <c r="BS39" s="248"/>
      <c r="BT39" s="248"/>
      <c r="BU39" s="248"/>
      <c r="BV39" s="248"/>
      <c r="BW39" s="248"/>
      <c r="BX39" s="248"/>
      <c r="BY39" s="248"/>
      <c r="BZ39" s="248"/>
      <c r="CA39" s="248"/>
      <c r="CB39" s="248"/>
      <c r="CC39" s="248"/>
      <c r="CD39" s="248"/>
      <c r="CE39" s="248"/>
      <c r="CF39" s="248"/>
      <c r="CG39" s="248"/>
      <c r="CH39" s="248"/>
      <c r="CI39" s="248"/>
      <c r="CJ39" s="248"/>
      <c r="CK39" s="248"/>
      <c r="CL39" s="248"/>
      <c r="CM39" s="248"/>
      <c r="CN39" s="248"/>
      <c r="CO39" s="248"/>
      <c r="CP39" s="248"/>
      <c r="CQ39" s="248"/>
      <c r="CR39" s="248"/>
      <c r="CS39" s="248"/>
      <c r="CT39" s="248"/>
      <c r="CU39" s="248"/>
      <c r="CV39" s="248"/>
      <c r="CW39" s="248"/>
      <c r="CX39" s="248"/>
      <c r="CY39" s="248"/>
    </row>
    <row r="40" spans="1:103" ht="32.25" customHeight="1" x14ac:dyDescent="0.25">
      <c r="A40" s="196"/>
      <c r="B40" s="121" t="s">
        <v>101</v>
      </c>
      <c r="C40" s="192" t="s">
        <v>102</v>
      </c>
      <c r="D40" s="267"/>
      <c r="E40" s="268"/>
      <c r="F40" s="268"/>
      <c r="G40" s="269" t="s">
        <v>103</v>
      </c>
      <c r="H40" s="270"/>
      <c r="I40" s="271"/>
      <c r="J40" s="268"/>
      <c r="K40" s="268"/>
      <c r="L40" s="268"/>
      <c r="M40" s="268"/>
      <c r="N40" s="268"/>
      <c r="O40" s="268"/>
      <c r="P40" s="272"/>
      <c r="Q40" s="273"/>
    </row>
    <row r="41" spans="1:103" ht="69" customHeight="1" x14ac:dyDescent="0.35">
      <c r="A41" s="253">
        <v>46245</v>
      </c>
      <c r="B41" s="246" t="s">
        <v>76</v>
      </c>
      <c r="C41" s="247" t="s">
        <v>104</v>
      </c>
      <c r="D41" s="285" t="s">
        <v>105</v>
      </c>
      <c r="E41" s="275"/>
      <c r="F41" s="276"/>
      <c r="G41" s="286" t="s">
        <v>79</v>
      </c>
      <c r="H41" s="276"/>
      <c r="I41" s="285" t="s">
        <v>106</v>
      </c>
      <c r="J41" s="275"/>
      <c r="K41" s="275"/>
      <c r="L41" s="275"/>
      <c r="M41" s="275"/>
      <c r="N41" s="275"/>
      <c r="O41" s="275"/>
      <c r="P41" s="281">
        <v>46248</v>
      </c>
      <c r="Q41" s="282"/>
      <c r="CU41"/>
    </row>
    <row r="42" spans="1:103" ht="52.9" customHeight="1" x14ac:dyDescent="0.25">
      <c r="A42" s="253"/>
      <c r="B42" s="246" t="s">
        <v>107</v>
      </c>
      <c r="C42" s="247" t="s">
        <v>108</v>
      </c>
      <c r="D42" s="285" t="s">
        <v>109</v>
      </c>
      <c r="E42" s="275"/>
      <c r="F42" s="276"/>
      <c r="G42" s="286" t="s">
        <v>110</v>
      </c>
      <c r="H42" s="276"/>
      <c r="I42" s="285" t="s">
        <v>111</v>
      </c>
      <c r="J42" s="275"/>
      <c r="K42" s="275"/>
      <c r="L42" s="275"/>
      <c r="M42" s="275"/>
      <c r="N42" s="275"/>
      <c r="O42" s="275"/>
      <c r="P42" s="287">
        <v>46248</v>
      </c>
      <c r="Q42" s="28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8"/>
      <c r="BC42" s="248"/>
      <c r="BD42" s="248"/>
      <c r="BE42" s="248"/>
      <c r="BF42" s="248"/>
      <c r="BG42" s="248"/>
      <c r="BH42" s="248"/>
      <c r="BI42" s="248"/>
      <c r="BJ42" s="248"/>
      <c r="BK42" s="248"/>
      <c r="BL42" s="248"/>
      <c r="BM42" s="248"/>
      <c r="BN42" s="248"/>
      <c r="BO42" s="248"/>
      <c r="BP42" s="248"/>
      <c r="BQ42" s="248"/>
      <c r="BR42" s="248"/>
      <c r="BS42" s="248"/>
      <c r="BT42" s="248"/>
      <c r="BU42" s="248"/>
      <c r="BV42" s="248"/>
      <c r="BW42" s="248"/>
      <c r="BX42" s="248"/>
      <c r="BY42" s="248"/>
      <c r="BZ42" s="248"/>
      <c r="CA42" s="248"/>
      <c r="CB42" s="248"/>
      <c r="CC42" s="248"/>
      <c r="CD42" s="248"/>
      <c r="CE42" s="248"/>
      <c r="CF42" s="248"/>
      <c r="CG42" s="248"/>
      <c r="CH42" s="248"/>
      <c r="CI42" s="248"/>
      <c r="CJ42" s="248"/>
      <c r="CK42" s="248"/>
      <c r="CL42" s="248"/>
      <c r="CM42" s="248"/>
      <c r="CN42" s="248"/>
      <c r="CO42" s="248"/>
      <c r="CP42" s="248"/>
      <c r="CQ42" s="248"/>
      <c r="CR42" s="248"/>
      <c r="CS42" s="248"/>
      <c r="CT42" s="248"/>
      <c r="CU42" s="248"/>
      <c r="CV42" s="248"/>
      <c r="CW42" s="248"/>
      <c r="CX42" s="248"/>
      <c r="CY42" s="248"/>
    </row>
    <row r="43" spans="1:103" ht="120.75" customHeight="1" x14ac:dyDescent="0.25">
      <c r="A43" s="245"/>
      <c r="B43" s="246" t="s">
        <v>86</v>
      </c>
      <c r="C43" s="247" t="s">
        <v>112</v>
      </c>
      <c r="D43" s="285" t="s">
        <v>113</v>
      </c>
      <c r="E43" s="275"/>
      <c r="F43" s="276"/>
      <c r="G43" s="277" t="s">
        <v>89</v>
      </c>
      <c r="H43" s="278"/>
      <c r="I43" s="279" t="s">
        <v>90</v>
      </c>
      <c r="J43" s="280"/>
      <c r="K43" s="280"/>
      <c r="L43" s="280"/>
      <c r="M43" s="280"/>
      <c r="N43" s="280"/>
      <c r="O43" s="278"/>
      <c r="P43" s="281">
        <v>46248</v>
      </c>
      <c r="Q43" s="282"/>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c r="BO43" s="248"/>
      <c r="BP43" s="248"/>
      <c r="BQ43" s="248"/>
      <c r="BR43" s="248"/>
      <c r="BS43" s="248"/>
      <c r="BT43" s="248"/>
      <c r="BU43" s="248"/>
      <c r="BV43" s="248"/>
      <c r="BW43" s="248"/>
      <c r="BX43" s="248"/>
      <c r="BY43" s="248"/>
      <c r="BZ43" s="248"/>
      <c r="CA43" s="248"/>
      <c r="CB43" s="248"/>
      <c r="CC43" s="248"/>
      <c r="CD43" s="248"/>
      <c r="CE43" s="248"/>
      <c r="CF43" s="248"/>
      <c r="CG43" s="248"/>
      <c r="CH43" s="248"/>
      <c r="CI43" s="248"/>
      <c r="CJ43" s="248"/>
      <c r="CK43" s="248"/>
      <c r="CL43" s="248"/>
      <c r="CM43" s="248"/>
      <c r="CN43" s="248"/>
      <c r="CO43" s="248"/>
      <c r="CP43" s="248"/>
      <c r="CQ43" s="248"/>
      <c r="CR43" s="248"/>
      <c r="CS43" s="248"/>
      <c r="CT43" s="248"/>
      <c r="CU43" s="248"/>
      <c r="CV43" s="248"/>
      <c r="CW43" s="248"/>
      <c r="CX43" s="248"/>
      <c r="CY43" s="248"/>
    </row>
    <row r="44" spans="1:103" ht="63.65" customHeight="1" x14ac:dyDescent="0.25">
      <c r="A44" s="245"/>
      <c r="B44" s="246" t="s">
        <v>91</v>
      </c>
      <c r="C44" s="247" t="s">
        <v>114</v>
      </c>
      <c r="D44" s="279" t="s">
        <v>115</v>
      </c>
      <c r="E44" s="280"/>
      <c r="F44" s="278"/>
      <c r="G44" s="277" t="s">
        <v>89</v>
      </c>
      <c r="H44" s="278"/>
      <c r="I44" s="279" t="s">
        <v>116</v>
      </c>
      <c r="J44" s="280"/>
      <c r="K44" s="280"/>
      <c r="L44" s="280"/>
      <c r="M44" s="280"/>
      <c r="N44" s="280"/>
      <c r="O44" s="278"/>
      <c r="P44" s="281" t="s">
        <v>95</v>
      </c>
      <c r="Q44" s="282"/>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8"/>
      <c r="BC44" s="248"/>
      <c r="BD44" s="248"/>
      <c r="BE44" s="248"/>
      <c r="BF44" s="248"/>
      <c r="BG44" s="248"/>
      <c r="BH44" s="248"/>
      <c r="BI44" s="248"/>
      <c r="BJ44" s="248"/>
      <c r="BK44" s="248"/>
      <c r="BL44" s="248"/>
      <c r="BM44" s="248"/>
      <c r="BN44" s="248"/>
      <c r="BO44" s="248"/>
      <c r="BP44" s="248"/>
      <c r="BQ44" s="248"/>
      <c r="BR44" s="248"/>
      <c r="BS44" s="248"/>
      <c r="BT44" s="248"/>
      <c r="BU44" s="248"/>
      <c r="BV44" s="248"/>
      <c r="BW44" s="248"/>
      <c r="BX44" s="248"/>
      <c r="BY44" s="248"/>
      <c r="BZ44" s="248"/>
      <c r="CA44" s="248"/>
      <c r="CB44" s="248"/>
      <c r="CC44" s="248"/>
      <c r="CD44" s="248"/>
      <c r="CE44" s="248"/>
      <c r="CF44" s="248"/>
      <c r="CG44" s="248"/>
      <c r="CH44" s="248"/>
      <c r="CI44" s="248"/>
      <c r="CJ44" s="248"/>
      <c r="CK44" s="248"/>
      <c r="CL44" s="248"/>
      <c r="CM44" s="248"/>
      <c r="CN44" s="248"/>
      <c r="CO44" s="248"/>
      <c r="CP44" s="248"/>
      <c r="CQ44" s="248"/>
      <c r="CR44" s="248"/>
      <c r="CS44" s="248"/>
      <c r="CT44" s="248"/>
      <c r="CU44" s="248"/>
      <c r="CV44" s="248"/>
      <c r="CW44" s="248"/>
      <c r="CX44" s="248"/>
      <c r="CY44" s="248"/>
    </row>
    <row r="45" spans="1:103" ht="55.15" customHeight="1" x14ac:dyDescent="0.25">
      <c r="A45" s="245"/>
      <c r="B45" s="246" t="s">
        <v>96</v>
      </c>
      <c r="C45" s="247" t="s">
        <v>97</v>
      </c>
      <c r="D45" s="279" t="s">
        <v>98</v>
      </c>
      <c r="E45" s="280"/>
      <c r="F45" s="278"/>
      <c r="G45" s="284" t="s">
        <v>99</v>
      </c>
      <c r="H45" s="284"/>
      <c r="I45" s="279" t="s">
        <v>117</v>
      </c>
      <c r="J45" s="280"/>
      <c r="K45" s="280"/>
      <c r="L45" s="280"/>
      <c r="M45" s="280"/>
      <c r="N45" s="280"/>
      <c r="O45" s="278"/>
      <c r="P45" s="281">
        <v>46248</v>
      </c>
      <c r="Q45" s="282"/>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8"/>
      <c r="BC45" s="248"/>
      <c r="BD45" s="248"/>
      <c r="BE45" s="248"/>
      <c r="BF45" s="248"/>
      <c r="BG45" s="248"/>
      <c r="BH45" s="248"/>
      <c r="BI45" s="248"/>
      <c r="BJ45" s="248"/>
      <c r="BK45" s="248"/>
      <c r="BL45" s="248"/>
      <c r="BM45" s="248"/>
      <c r="BN45" s="248"/>
      <c r="BO45" s="248"/>
      <c r="BP45" s="248"/>
      <c r="BQ45" s="248"/>
      <c r="BR45" s="248"/>
      <c r="BS45" s="248"/>
      <c r="BT45" s="248"/>
      <c r="BU45" s="248"/>
      <c r="BV45" s="248"/>
      <c r="BW45" s="248"/>
      <c r="BX45" s="248"/>
      <c r="BY45" s="248"/>
      <c r="BZ45" s="248"/>
      <c r="CA45" s="248"/>
      <c r="CB45" s="248"/>
      <c r="CC45" s="248"/>
      <c r="CD45" s="248"/>
      <c r="CE45" s="248"/>
      <c r="CF45" s="248"/>
      <c r="CG45" s="248"/>
      <c r="CH45" s="248"/>
      <c r="CI45" s="248"/>
      <c r="CJ45" s="248"/>
      <c r="CK45" s="248"/>
      <c r="CL45" s="248"/>
      <c r="CM45" s="248"/>
      <c r="CN45" s="248"/>
      <c r="CO45" s="248"/>
      <c r="CP45" s="248"/>
      <c r="CQ45" s="248"/>
      <c r="CR45" s="248"/>
      <c r="CS45" s="248"/>
      <c r="CT45" s="248"/>
      <c r="CU45" s="248"/>
      <c r="CV45" s="248"/>
      <c r="CW45" s="248"/>
      <c r="CX45" s="248"/>
      <c r="CY45" s="248"/>
    </row>
    <row r="46" spans="1:103" ht="69" customHeight="1" x14ac:dyDescent="0.35">
      <c r="A46" s="253">
        <v>46244</v>
      </c>
      <c r="B46" s="246" t="s">
        <v>76</v>
      </c>
      <c r="C46" s="247" t="s">
        <v>104</v>
      </c>
      <c r="D46" s="285" t="s">
        <v>105</v>
      </c>
      <c r="E46" s="275"/>
      <c r="F46" s="276"/>
      <c r="G46" s="286" t="s">
        <v>79</v>
      </c>
      <c r="H46" s="276"/>
      <c r="I46" s="285" t="s">
        <v>106</v>
      </c>
      <c r="J46" s="275"/>
      <c r="K46" s="275"/>
      <c r="L46" s="275"/>
      <c r="M46" s="275"/>
      <c r="N46" s="275"/>
      <c r="O46" s="275"/>
      <c r="P46" s="281">
        <v>46248</v>
      </c>
      <c r="Q46" s="282"/>
      <c r="CU46"/>
    </row>
    <row r="47" spans="1:103" ht="52.9" customHeight="1" x14ac:dyDescent="0.25">
      <c r="A47" s="253"/>
      <c r="B47" s="246" t="s">
        <v>107</v>
      </c>
      <c r="C47" s="247" t="s">
        <v>108</v>
      </c>
      <c r="D47" s="285" t="s">
        <v>109</v>
      </c>
      <c r="E47" s="275"/>
      <c r="F47" s="276"/>
      <c r="G47" s="286" t="s">
        <v>110</v>
      </c>
      <c r="H47" s="276"/>
      <c r="I47" s="285" t="s">
        <v>111</v>
      </c>
      <c r="J47" s="275"/>
      <c r="K47" s="275"/>
      <c r="L47" s="275"/>
      <c r="M47" s="275"/>
      <c r="N47" s="275"/>
      <c r="O47" s="275"/>
      <c r="P47" s="287">
        <v>46248</v>
      </c>
      <c r="Q47" s="28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8"/>
      <c r="BC47" s="248"/>
      <c r="BD47" s="248"/>
      <c r="BE47" s="248"/>
      <c r="BF47" s="248"/>
      <c r="BG47" s="248"/>
      <c r="BH47" s="248"/>
      <c r="BI47" s="248"/>
      <c r="BJ47" s="248"/>
      <c r="BK47" s="248"/>
      <c r="BL47" s="248"/>
      <c r="BM47" s="248"/>
      <c r="BN47" s="248"/>
      <c r="BO47" s="248"/>
      <c r="BP47" s="248"/>
      <c r="BQ47" s="248"/>
      <c r="BR47" s="248"/>
      <c r="BS47" s="248"/>
      <c r="BT47" s="248"/>
      <c r="BU47" s="248"/>
      <c r="BV47" s="248"/>
      <c r="BW47" s="248"/>
      <c r="BX47" s="248"/>
      <c r="BY47" s="248"/>
      <c r="BZ47" s="248"/>
      <c r="CA47" s="248"/>
      <c r="CB47" s="248"/>
      <c r="CC47" s="248"/>
      <c r="CD47" s="248"/>
      <c r="CE47" s="248"/>
      <c r="CF47" s="248"/>
      <c r="CG47" s="248"/>
      <c r="CH47" s="248"/>
      <c r="CI47" s="248"/>
      <c r="CJ47" s="248"/>
      <c r="CK47" s="248"/>
      <c r="CL47" s="248"/>
      <c r="CM47" s="248"/>
      <c r="CN47" s="248"/>
      <c r="CO47" s="248"/>
      <c r="CP47" s="248"/>
      <c r="CQ47" s="248"/>
      <c r="CR47" s="248"/>
      <c r="CS47" s="248"/>
      <c r="CT47" s="248"/>
      <c r="CU47" s="248"/>
      <c r="CV47" s="248"/>
      <c r="CW47" s="248"/>
      <c r="CX47" s="248"/>
      <c r="CY47" s="248"/>
    </row>
    <row r="48" spans="1:103" ht="120.75" customHeight="1" x14ac:dyDescent="0.25">
      <c r="A48" s="245"/>
      <c r="B48" s="246" t="s">
        <v>86</v>
      </c>
      <c r="C48" s="247" t="s">
        <v>112</v>
      </c>
      <c r="D48" s="285" t="s">
        <v>113</v>
      </c>
      <c r="E48" s="275"/>
      <c r="F48" s="276"/>
      <c r="G48" s="277" t="s">
        <v>89</v>
      </c>
      <c r="H48" s="278"/>
      <c r="I48" s="279" t="s">
        <v>90</v>
      </c>
      <c r="J48" s="280"/>
      <c r="K48" s="280"/>
      <c r="L48" s="280"/>
      <c r="M48" s="280"/>
      <c r="N48" s="280"/>
      <c r="O48" s="278"/>
      <c r="P48" s="281">
        <v>46248</v>
      </c>
      <c r="Q48" s="282"/>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8"/>
      <c r="BC48" s="248"/>
      <c r="BD48" s="248"/>
      <c r="BE48" s="248"/>
      <c r="BF48" s="248"/>
      <c r="BG48" s="248"/>
      <c r="BH48" s="248"/>
      <c r="BI48" s="248"/>
      <c r="BJ48" s="248"/>
      <c r="BK48" s="248"/>
      <c r="BL48" s="248"/>
      <c r="BM48" s="248"/>
      <c r="BN48" s="248"/>
      <c r="BO48" s="248"/>
      <c r="BP48" s="248"/>
      <c r="BQ48" s="248"/>
      <c r="BR48" s="248"/>
      <c r="BS48" s="248"/>
      <c r="BT48" s="248"/>
      <c r="BU48" s="248"/>
      <c r="BV48" s="248"/>
      <c r="BW48" s="248"/>
      <c r="BX48" s="248"/>
      <c r="BY48" s="248"/>
      <c r="BZ48" s="248"/>
      <c r="CA48" s="248"/>
      <c r="CB48" s="248"/>
      <c r="CC48" s="248"/>
      <c r="CD48" s="248"/>
      <c r="CE48" s="248"/>
      <c r="CF48" s="248"/>
      <c r="CG48" s="248"/>
      <c r="CH48" s="248"/>
      <c r="CI48" s="248"/>
      <c r="CJ48" s="248"/>
      <c r="CK48" s="248"/>
      <c r="CL48" s="248"/>
      <c r="CM48" s="248"/>
      <c r="CN48" s="248"/>
      <c r="CO48" s="248"/>
      <c r="CP48" s="248"/>
      <c r="CQ48" s="248"/>
      <c r="CR48" s="248"/>
      <c r="CS48" s="248"/>
      <c r="CT48" s="248"/>
      <c r="CU48" s="248"/>
      <c r="CV48" s="248"/>
      <c r="CW48" s="248"/>
      <c r="CX48" s="248"/>
      <c r="CY48" s="248"/>
    </row>
    <row r="49" spans="1:103" ht="43.5" customHeight="1" x14ac:dyDescent="0.25">
      <c r="A49" s="245"/>
      <c r="B49" s="246" t="s">
        <v>91</v>
      </c>
      <c r="C49" s="247" t="s">
        <v>118</v>
      </c>
      <c r="D49" s="279" t="s">
        <v>119</v>
      </c>
      <c r="E49" s="280"/>
      <c r="F49" s="278"/>
      <c r="G49" s="277" t="s">
        <v>89</v>
      </c>
      <c r="H49" s="278"/>
      <c r="I49" s="279" t="s">
        <v>116</v>
      </c>
      <c r="J49" s="280"/>
      <c r="K49" s="280"/>
      <c r="L49" s="280"/>
      <c r="M49" s="280"/>
      <c r="N49" s="280"/>
      <c r="O49" s="278"/>
      <c r="P49" s="281" t="s">
        <v>95</v>
      </c>
      <c r="Q49" s="282"/>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8"/>
      <c r="BC49" s="248"/>
      <c r="BD49" s="248"/>
      <c r="BE49" s="248"/>
      <c r="BF49" s="248"/>
      <c r="BG49" s="248"/>
      <c r="BH49" s="248"/>
      <c r="BI49" s="248"/>
      <c r="BJ49" s="248"/>
      <c r="BK49" s="248"/>
      <c r="BL49" s="248"/>
      <c r="BM49" s="248"/>
      <c r="BN49" s="248"/>
      <c r="BO49" s="248"/>
      <c r="BP49" s="248"/>
      <c r="BQ49" s="248"/>
      <c r="BR49" s="248"/>
      <c r="BS49" s="248"/>
      <c r="BT49" s="248"/>
      <c r="BU49" s="248"/>
      <c r="BV49" s="248"/>
      <c r="BW49" s="248"/>
      <c r="BX49" s="248"/>
      <c r="BY49" s="248"/>
      <c r="BZ49" s="248"/>
      <c r="CA49" s="248"/>
      <c r="CB49" s="248"/>
      <c r="CC49" s="248"/>
      <c r="CD49" s="248"/>
      <c r="CE49" s="248"/>
      <c r="CF49" s="248"/>
      <c r="CG49" s="248"/>
      <c r="CH49" s="248"/>
      <c r="CI49" s="248"/>
      <c r="CJ49" s="248"/>
      <c r="CK49" s="248"/>
      <c r="CL49" s="248"/>
      <c r="CM49" s="248"/>
      <c r="CN49" s="248"/>
      <c r="CO49" s="248"/>
      <c r="CP49" s="248"/>
      <c r="CQ49" s="248"/>
      <c r="CR49" s="248"/>
      <c r="CS49" s="248"/>
      <c r="CT49" s="248"/>
      <c r="CU49" s="248"/>
      <c r="CV49" s="248"/>
      <c r="CW49" s="248"/>
      <c r="CX49" s="248"/>
      <c r="CY49" s="248"/>
    </row>
    <row r="50" spans="1:103" ht="65.5" customHeight="1" x14ac:dyDescent="0.25">
      <c r="A50" s="245"/>
      <c r="B50" s="246" t="s">
        <v>120</v>
      </c>
      <c r="C50" s="247" t="s">
        <v>97</v>
      </c>
      <c r="D50" s="279" t="s">
        <v>98</v>
      </c>
      <c r="E50" s="280"/>
      <c r="F50" s="278"/>
      <c r="G50" s="284" t="s">
        <v>99</v>
      </c>
      <c r="H50" s="284"/>
      <c r="I50" s="279" t="s">
        <v>117</v>
      </c>
      <c r="J50" s="280"/>
      <c r="K50" s="280"/>
      <c r="L50" s="280"/>
      <c r="M50" s="280"/>
      <c r="N50" s="280"/>
      <c r="O50" s="278"/>
      <c r="P50" s="281">
        <v>46248</v>
      </c>
      <c r="Q50" s="282"/>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8"/>
      <c r="BC50" s="248"/>
      <c r="BD50" s="248"/>
      <c r="BE50" s="248"/>
      <c r="BF50" s="248"/>
      <c r="BG50" s="248"/>
      <c r="BH50" s="248"/>
      <c r="BI50" s="248"/>
      <c r="BJ50" s="248"/>
      <c r="BK50" s="248"/>
      <c r="BL50" s="248"/>
      <c r="BM50" s="248"/>
      <c r="BN50" s="248"/>
      <c r="BO50" s="248"/>
      <c r="BP50" s="248"/>
      <c r="BQ50" s="248"/>
      <c r="BR50" s="248"/>
      <c r="BS50" s="248"/>
      <c r="BT50" s="248"/>
      <c r="BU50" s="248"/>
      <c r="BV50" s="248"/>
      <c r="BW50" s="248"/>
      <c r="BX50" s="248"/>
      <c r="BY50" s="248"/>
      <c r="BZ50" s="248"/>
      <c r="CA50" s="248"/>
      <c r="CB50" s="248"/>
      <c r="CC50" s="248"/>
      <c r="CD50" s="248"/>
      <c r="CE50" s="248"/>
      <c r="CF50" s="248"/>
      <c r="CG50" s="248"/>
      <c r="CH50" s="248"/>
      <c r="CI50" s="248"/>
      <c r="CJ50" s="248"/>
      <c r="CK50" s="248"/>
      <c r="CL50" s="248"/>
      <c r="CM50" s="248"/>
      <c r="CN50" s="248"/>
      <c r="CO50" s="248"/>
      <c r="CP50" s="248"/>
      <c r="CQ50" s="248"/>
      <c r="CR50" s="248"/>
      <c r="CS50" s="248"/>
      <c r="CT50" s="248"/>
      <c r="CU50" s="248"/>
      <c r="CV50" s="248"/>
      <c r="CW50" s="248"/>
      <c r="CX50" s="248"/>
      <c r="CY50" s="248"/>
    </row>
    <row r="51" spans="1:103" ht="55.5" customHeight="1" x14ac:dyDescent="0.25">
      <c r="A51" s="253">
        <v>46243</v>
      </c>
      <c r="B51" s="246" t="s">
        <v>76</v>
      </c>
      <c r="C51" s="247" t="s">
        <v>104</v>
      </c>
      <c r="D51" s="285" t="s">
        <v>121</v>
      </c>
      <c r="E51" s="275"/>
      <c r="F51" s="276"/>
      <c r="G51" s="286" t="s">
        <v>79</v>
      </c>
      <c r="H51" s="276"/>
      <c r="I51" s="285" t="s">
        <v>122</v>
      </c>
      <c r="J51" s="275"/>
      <c r="K51" s="275"/>
      <c r="L51" s="275"/>
      <c r="M51" s="275"/>
      <c r="N51" s="275"/>
      <c r="O51" s="275"/>
      <c r="P51" s="281">
        <v>46248</v>
      </c>
      <c r="Q51" s="282"/>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8"/>
      <c r="BC51" s="248"/>
      <c r="BD51" s="248"/>
      <c r="BE51" s="248"/>
      <c r="BF51" s="248"/>
      <c r="BG51" s="248"/>
      <c r="BH51" s="248"/>
      <c r="BI51" s="248"/>
      <c r="BJ51" s="248"/>
      <c r="BK51" s="248"/>
      <c r="BL51" s="248"/>
      <c r="BM51" s="248"/>
      <c r="BN51" s="248"/>
      <c r="BO51" s="248"/>
      <c r="BP51" s="248"/>
      <c r="BQ51" s="248"/>
      <c r="BR51" s="248"/>
      <c r="BS51" s="248"/>
      <c r="BT51" s="248"/>
      <c r="BU51" s="248"/>
      <c r="BV51" s="248"/>
      <c r="BW51" s="248"/>
      <c r="BX51" s="248"/>
      <c r="BY51" s="248"/>
      <c r="BZ51" s="248"/>
      <c r="CA51" s="248"/>
      <c r="CB51" s="248"/>
      <c r="CC51" s="248"/>
      <c r="CD51" s="248"/>
      <c r="CE51" s="248"/>
      <c r="CF51" s="248"/>
      <c r="CG51" s="248"/>
      <c r="CH51" s="248"/>
      <c r="CI51" s="248"/>
      <c r="CJ51" s="248"/>
      <c r="CK51" s="248"/>
      <c r="CL51" s="248"/>
      <c r="CM51" s="248"/>
      <c r="CN51" s="248"/>
      <c r="CO51" s="248"/>
      <c r="CP51" s="248"/>
      <c r="CQ51" s="248"/>
      <c r="CR51" s="248"/>
      <c r="CS51" s="248"/>
      <c r="CT51" s="248"/>
      <c r="CU51" s="248"/>
      <c r="CV51" s="248"/>
      <c r="CW51" s="248"/>
      <c r="CX51" s="248"/>
      <c r="CY51" s="248"/>
    </row>
    <row r="52" spans="1:103" ht="48.75" customHeight="1" x14ac:dyDescent="0.25">
      <c r="A52" s="245"/>
      <c r="B52" s="246" t="s">
        <v>107</v>
      </c>
      <c r="C52" s="247" t="s">
        <v>108</v>
      </c>
      <c r="D52" s="285" t="s">
        <v>123</v>
      </c>
      <c r="E52" s="275"/>
      <c r="F52" s="276"/>
      <c r="G52" s="286" t="s">
        <v>110</v>
      </c>
      <c r="H52" s="276"/>
      <c r="I52" s="285" t="s">
        <v>124</v>
      </c>
      <c r="J52" s="275"/>
      <c r="K52" s="275"/>
      <c r="L52" s="275"/>
      <c r="M52" s="275"/>
      <c r="N52" s="275"/>
      <c r="O52" s="275"/>
      <c r="P52" s="287">
        <v>46245</v>
      </c>
      <c r="Q52" s="28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c r="BH52" s="248"/>
      <c r="BI52" s="248"/>
      <c r="BJ52" s="248"/>
      <c r="BK52" s="248"/>
      <c r="BL52" s="248"/>
      <c r="BM52" s="248"/>
      <c r="BN52" s="248"/>
      <c r="BO52" s="248"/>
      <c r="BP52" s="248"/>
      <c r="BQ52" s="248"/>
      <c r="BR52" s="248"/>
      <c r="BS52" s="248"/>
      <c r="BT52" s="248"/>
      <c r="BU52" s="248"/>
      <c r="BV52" s="248"/>
      <c r="BW52" s="248"/>
      <c r="BX52" s="248"/>
      <c r="BY52" s="248"/>
      <c r="BZ52" s="248"/>
      <c r="CA52" s="248"/>
      <c r="CB52" s="248"/>
      <c r="CC52" s="248"/>
      <c r="CD52" s="248"/>
      <c r="CE52" s="248"/>
      <c r="CF52" s="248"/>
      <c r="CG52" s="248"/>
      <c r="CH52" s="248"/>
      <c r="CI52" s="248"/>
      <c r="CJ52" s="248"/>
      <c r="CK52" s="248"/>
      <c r="CL52" s="248"/>
      <c r="CM52" s="248"/>
      <c r="CN52" s="248"/>
      <c r="CO52" s="248"/>
      <c r="CP52" s="248"/>
      <c r="CQ52" s="248"/>
      <c r="CR52" s="248"/>
      <c r="CS52" s="248"/>
      <c r="CT52" s="248"/>
      <c r="CU52" s="248"/>
      <c r="CV52" s="248"/>
      <c r="CW52" s="248"/>
      <c r="CX52" s="248"/>
      <c r="CY52" s="248"/>
    </row>
    <row r="53" spans="1:103" ht="51.75" customHeight="1" x14ac:dyDescent="0.25">
      <c r="A53" s="245"/>
      <c r="B53" s="246" t="s">
        <v>86</v>
      </c>
      <c r="C53" s="247" t="s">
        <v>125</v>
      </c>
      <c r="D53" s="285" t="s">
        <v>126</v>
      </c>
      <c r="E53" s="275"/>
      <c r="F53" s="276"/>
      <c r="G53" s="277" t="s">
        <v>89</v>
      </c>
      <c r="H53" s="278"/>
      <c r="I53" s="279" t="s">
        <v>127</v>
      </c>
      <c r="J53" s="280"/>
      <c r="K53" s="280"/>
      <c r="L53" s="280"/>
      <c r="M53" s="280"/>
      <c r="N53" s="280"/>
      <c r="O53" s="278"/>
      <c r="P53" s="281">
        <v>46248</v>
      </c>
      <c r="Q53" s="282"/>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48"/>
      <c r="BD53" s="248"/>
      <c r="BE53" s="248"/>
      <c r="BF53" s="248"/>
      <c r="BG53" s="248"/>
      <c r="BH53" s="248"/>
      <c r="BI53" s="248"/>
      <c r="BJ53" s="248"/>
      <c r="BK53" s="248"/>
      <c r="BL53" s="248"/>
      <c r="BM53" s="248"/>
      <c r="BN53" s="248"/>
      <c r="BO53" s="248"/>
      <c r="BP53" s="248"/>
      <c r="BQ53" s="248"/>
      <c r="BR53" s="248"/>
      <c r="BS53" s="248"/>
      <c r="BT53" s="248"/>
      <c r="BU53" s="248"/>
      <c r="BV53" s="248"/>
      <c r="BW53" s="248"/>
      <c r="BX53" s="248"/>
      <c r="BY53" s="248"/>
      <c r="BZ53" s="248"/>
      <c r="CA53" s="248"/>
      <c r="CB53" s="248"/>
      <c r="CC53" s="248"/>
      <c r="CD53" s="248"/>
      <c r="CE53" s="248"/>
      <c r="CF53" s="248"/>
      <c r="CG53" s="248"/>
      <c r="CH53" s="248"/>
      <c r="CI53" s="248"/>
      <c r="CJ53" s="248"/>
      <c r="CK53" s="248"/>
      <c r="CL53" s="248"/>
      <c r="CM53" s="248"/>
      <c r="CN53" s="248"/>
      <c r="CO53" s="248"/>
      <c r="CP53" s="248"/>
      <c r="CQ53" s="248"/>
      <c r="CR53" s="248"/>
      <c r="CS53" s="248"/>
      <c r="CT53" s="248"/>
      <c r="CU53" s="248"/>
      <c r="CV53" s="248"/>
      <c r="CW53" s="248"/>
      <c r="CX53" s="248"/>
      <c r="CY53" s="248"/>
    </row>
    <row r="54" spans="1:103" ht="34.5" customHeight="1" x14ac:dyDescent="0.25">
      <c r="A54" s="245"/>
      <c r="B54" s="246" t="s">
        <v>91</v>
      </c>
      <c r="C54" s="247" t="s">
        <v>118</v>
      </c>
      <c r="D54" s="279" t="s">
        <v>128</v>
      </c>
      <c r="E54" s="280"/>
      <c r="F54" s="278"/>
      <c r="G54" s="277" t="s">
        <v>89</v>
      </c>
      <c r="H54" s="278"/>
      <c r="I54" s="279" t="s">
        <v>129</v>
      </c>
      <c r="J54" s="280"/>
      <c r="K54" s="280"/>
      <c r="L54" s="280"/>
      <c r="M54" s="280"/>
      <c r="N54" s="280"/>
      <c r="O54" s="278"/>
      <c r="P54" s="281" t="s">
        <v>95</v>
      </c>
      <c r="Q54" s="282"/>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c r="BO54" s="248"/>
      <c r="BP54" s="248"/>
      <c r="BQ54" s="248"/>
      <c r="BR54" s="248"/>
      <c r="BS54" s="248"/>
      <c r="BT54" s="248"/>
      <c r="BU54" s="248"/>
      <c r="BV54" s="248"/>
      <c r="BW54" s="248"/>
      <c r="BX54" s="248"/>
      <c r="BY54" s="248"/>
      <c r="BZ54" s="248"/>
      <c r="CA54" s="248"/>
      <c r="CB54" s="248"/>
      <c r="CC54" s="248"/>
      <c r="CD54" s="248"/>
      <c r="CE54" s="248"/>
      <c r="CF54" s="248"/>
      <c r="CG54" s="248"/>
      <c r="CH54" s="248"/>
      <c r="CI54" s="248"/>
      <c r="CJ54" s="248"/>
      <c r="CK54" s="248"/>
      <c r="CL54" s="248"/>
      <c r="CM54" s="248"/>
      <c r="CN54" s="248"/>
      <c r="CO54" s="248"/>
      <c r="CP54" s="248"/>
      <c r="CQ54" s="248"/>
      <c r="CR54" s="248"/>
      <c r="CS54" s="248"/>
      <c r="CT54" s="248"/>
      <c r="CU54" s="248"/>
      <c r="CV54" s="248"/>
      <c r="CW54" s="248"/>
      <c r="CX54" s="248"/>
      <c r="CY54" s="248"/>
    </row>
    <row r="55" spans="1:103" ht="51" customHeight="1" x14ac:dyDescent="0.25">
      <c r="A55" s="245"/>
      <c r="B55" s="246" t="s">
        <v>130</v>
      </c>
      <c r="C55" s="247" t="s">
        <v>97</v>
      </c>
      <c r="D55" s="279" t="s">
        <v>98</v>
      </c>
      <c r="E55" s="280"/>
      <c r="F55" s="278"/>
      <c r="G55" s="284" t="s">
        <v>99</v>
      </c>
      <c r="H55" s="284"/>
      <c r="I55" s="279" t="s">
        <v>131</v>
      </c>
      <c r="J55" s="280"/>
      <c r="K55" s="280"/>
      <c r="L55" s="280"/>
      <c r="M55" s="280"/>
      <c r="N55" s="280"/>
      <c r="O55" s="278"/>
      <c r="P55" s="281">
        <v>46248</v>
      </c>
      <c r="Q55" s="282"/>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48"/>
      <c r="BD55" s="248"/>
      <c r="BE55" s="248"/>
      <c r="BF55" s="248"/>
      <c r="BG55" s="248"/>
      <c r="BH55" s="248"/>
      <c r="BI55" s="248"/>
      <c r="BJ55" s="248"/>
      <c r="BK55" s="248"/>
      <c r="BL55" s="248"/>
      <c r="BM55" s="248"/>
      <c r="BN55" s="248"/>
      <c r="BO55" s="248"/>
      <c r="BP55" s="248"/>
      <c r="BQ55" s="248"/>
      <c r="BR55" s="248"/>
      <c r="BS55" s="248"/>
      <c r="BT55" s="248"/>
      <c r="BU55" s="248"/>
      <c r="BV55" s="248"/>
      <c r="BW55" s="248"/>
      <c r="BX55" s="248"/>
      <c r="BY55" s="248"/>
      <c r="BZ55" s="248"/>
      <c r="CA55" s="248"/>
      <c r="CB55" s="248"/>
      <c r="CC55" s="248"/>
      <c r="CD55" s="248"/>
      <c r="CE55" s="248"/>
      <c r="CF55" s="248"/>
      <c r="CG55" s="248"/>
      <c r="CH55" s="248"/>
      <c r="CI55" s="248"/>
      <c r="CJ55" s="248"/>
      <c r="CK55" s="248"/>
      <c r="CL55" s="248"/>
      <c r="CM55" s="248"/>
      <c r="CN55" s="248"/>
      <c r="CO55" s="248"/>
      <c r="CP55" s="248"/>
      <c r="CQ55" s="248"/>
      <c r="CR55" s="248"/>
      <c r="CS55" s="248"/>
      <c r="CT55" s="248"/>
      <c r="CU55" s="248"/>
      <c r="CV55" s="248"/>
      <c r="CW55" s="248"/>
      <c r="CX55" s="248"/>
      <c r="CY55" s="248"/>
    </row>
    <row r="56" spans="1:103" ht="91.5" customHeight="1" x14ac:dyDescent="0.25">
      <c r="A56" s="198">
        <v>46240</v>
      </c>
      <c r="B56" s="121" t="s">
        <v>76</v>
      </c>
      <c r="C56" s="192" t="s">
        <v>132</v>
      </c>
      <c r="D56" s="290" t="s">
        <v>133</v>
      </c>
      <c r="E56" s="291"/>
      <c r="F56" s="292"/>
      <c r="G56" s="297" t="s">
        <v>79</v>
      </c>
      <c r="H56" s="292"/>
      <c r="I56" s="290" t="s">
        <v>134</v>
      </c>
      <c r="J56" s="291"/>
      <c r="K56" s="291"/>
      <c r="L56" s="291"/>
      <c r="M56" s="291"/>
      <c r="N56" s="291"/>
      <c r="O56" s="291"/>
      <c r="P56" s="295" t="s">
        <v>135</v>
      </c>
      <c r="Q56" s="296"/>
    </row>
    <row r="57" spans="1:103" ht="58.5" customHeight="1" x14ac:dyDescent="0.25">
      <c r="A57" s="203"/>
      <c r="B57" s="121" t="s">
        <v>107</v>
      </c>
      <c r="C57" s="192" t="s">
        <v>108</v>
      </c>
      <c r="D57" s="285" t="s">
        <v>123</v>
      </c>
      <c r="E57" s="275"/>
      <c r="F57" s="276"/>
      <c r="G57" s="286" t="s">
        <v>110</v>
      </c>
      <c r="H57" s="276"/>
      <c r="I57" s="285" t="s">
        <v>124</v>
      </c>
      <c r="J57" s="275"/>
      <c r="K57" s="275"/>
      <c r="L57" s="275"/>
      <c r="M57" s="275"/>
      <c r="N57" s="275"/>
      <c r="O57" s="275"/>
      <c r="P57" s="287">
        <v>46245</v>
      </c>
      <c r="Q57" s="288"/>
    </row>
    <row r="58" spans="1:103" ht="46.15" customHeight="1" x14ac:dyDescent="0.25">
      <c r="A58" s="203"/>
      <c r="B58" s="121" t="s">
        <v>86</v>
      </c>
      <c r="C58" s="192" t="s">
        <v>125</v>
      </c>
      <c r="D58" s="285" t="s">
        <v>126</v>
      </c>
      <c r="E58" s="275"/>
      <c r="F58" s="276"/>
      <c r="G58" s="277" t="s">
        <v>89</v>
      </c>
      <c r="H58" s="278"/>
      <c r="I58" s="279" t="s">
        <v>136</v>
      </c>
      <c r="J58" s="280"/>
      <c r="K58" s="280"/>
      <c r="L58" s="280"/>
      <c r="M58" s="280"/>
      <c r="N58" s="280"/>
      <c r="O58" s="278"/>
      <c r="P58" s="281">
        <v>46262</v>
      </c>
      <c r="Q58" s="282"/>
    </row>
    <row r="59" spans="1:103" ht="44.65" customHeight="1" x14ac:dyDescent="0.25">
      <c r="A59" s="245"/>
      <c r="B59" s="246" t="s">
        <v>91</v>
      </c>
      <c r="C59" s="247" t="s">
        <v>137</v>
      </c>
      <c r="D59" s="279" t="s">
        <v>138</v>
      </c>
      <c r="E59" s="280"/>
      <c r="F59" s="278"/>
      <c r="G59" s="277" t="s">
        <v>89</v>
      </c>
      <c r="H59" s="278"/>
      <c r="I59" s="279" t="s">
        <v>139</v>
      </c>
      <c r="J59" s="280"/>
      <c r="K59" s="280"/>
      <c r="L59" s="280"/>
      <c r="M59" s="280"/>
      <c r="N59" s="280"/>
      <c r="O59" s="278"/>
      <c r="P59" s="281" t="s">
        <v>140</v>
      </c>
      <c r="Q59" s="282"/>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48"/>
      <c r="BD59" s="248"/>
      <c r="BE59" s="248"/>
      <c r="BF59" s="248"/>
      <c r="BG59" s="248"/>
      <c r="BH59" s="248"/>
      <c r="BI59" s="248"/>
      <c r="BJ59" s="248"/>
      <c r="BK59" s="248"/>
      <c r="BL59" s="248"/>
      <c r="BM59" s="248"/>
      <c r="BN59" s="248"/>
      <c r="BO59" s="248"/>
      <c r="BP59" s="248"/>
      <c r="BQ59" s="248"/>
      <c r="BR59" s="248"/>
      <c r="BS59" s="248"/>
      <c r="BT59" s="248"/>
      <c r="BU59" s="248"/>
      <c r="BV59" s="248"/>
      <c r="BW59" s="248"/>
      <c r="BX59" s="248"/>
      <c r="BY59" s="248"/>
      <c r="BZ59" s="248"/>
      <c r="CA59" s="248"/>
      <c r="CB59" s="248"/>
      <c r="CC59" s="248"/>
      <c r="CD59" s="248"/>
      <c r="CE59" s="248"/>
      <c r="CF59" s="248"/>
      <c r="CG59" s="248"/>
      <c r="CH59" s="248"/>
      <c r="CI59" s="248"/>
      <c r="CJ59" s="248"/>
      <c r="CK59" s="248"/>
      <c r="CL59" s="248"/>
      <c r="CM59" s="248"/>
      <c r="CN59" s="248"/>
      <c r="CO59" s="248"/>
      <c r="CP59" s="248"/>
      <c r="CQ59" s="248"/>
      <c r="CR59" s="248"/>
      <c r="CS59" s="248"/>
      <c r="CT59" s="248"/>
      <c r="CU59" s="248"/>
      <c r="CV59" s="248"/>
      <c r="CW59" s="248"/>
      <c r="CX59" s="248"/>
      <c r="CY59" s="248"/>
    </row>
    <row r="60" spans="1:103" ht="52.9" customHeight="1" x14ac:dyDescent="0.25">
      <c r="A60" s="203"/>
      <c r="B60" s="121" t="s">
        <v>130</v>
      </c>
      <c r="C60" s="192" t="s">
        <v>97</v>
      </c>
      <c r="D60" s="279" t="s">
        <v>98</v>
      </c>
      <c r="E60" s="280"/>
      <c r="F60" s="278"/>
      <c r="G60" s="284" t="s">
        <v>99</v>
      </c>
      <c r="H60" s="284"/>
      <c r="I60" s="279" t="s">
        <v>131</v>
      </c>
      <c r="J60" s="280"/>
      <c r="K60" s="280"/>
      <c r="L60" s="280"/>
      <c r="M60" s="280"/>
      <c r="N60" s="280"/>
      <c r="O60" s="278"/>
      <c r="P60" s="281">
        <v>46248</v>
      </c>
      <c r="Q60" s="282"/>
    </row>
    <row r="61" spans="1:103" ht="58.5" customHeight="1" x14ac:dyDescent="0.25">
      <c r="A61" s="233"/>
      <c r="B61" s="121" t="s">
        <v>141</v>
      </c>
      <c r="C61" s="192" t="s">
        <v>142</v>
      </c>
      <c r="D61" s="279" t="s">
        <v>143</v>
      </c>
      <c r="E61" s="280"/>
      <c r="F61" s="278"/>
      <c r="G61" s="277" t="s">
        <v>144</v>
      </c>
      <c r="H61" s="278"/>
      <c r="I61" s="279" t="s">
        <v>145</v>
      </c>
      <c r="J61" s="280"/>
      <c r="K61" s="280"/>
      <c r="L61" s="280"/>
      <c r="M61" s="280"/>
      <c r="N61" s="280"/>
      <c r="O61" s="278"/>
      <c r="P61" s="281">
        <v>46248</v>
      </c>
      <c r="Q61" s="282"/>
    </row>
    <row r="62" spans="1:103" ht="58.5" customHeight="1" x14ac:dyDescent="0.25">
      <c r="A62" s="245">
        <v>46238</v>
      </c>
      <c r="B62" s="121" t="s">
        <v>146</v>
      </c>
      <c r="C62" s="192" t="s">
        <v>147</v>
      </c>
      <c r="D62" s="285" t="s">
        <v>148</v>
      </c>
      <c r="E62" s="275"/>
      <c r="F62" s="276"/>
      <c r="G62" s="286" t="s">
        <v>110</v>
      </c>
      <c r="H62" s="276"/>
      <c r="I62" s="285" t="s">
        <v>149</v>
      </c>
      <c r="J62" s="275"/>
      <c r="K62" s="275"/>
      <c r="L62" s="275"/>
      <c r="M62" s="275"/>
      <c r="N62" s="275"/>
      <c r="O62" s="275"/>
      <c r="P62" s="287">
        <v>46240</v>
      </c>
      <c r="Q62" s="288"/>
    </row>
    <row r="63" spans="1:103" ht="91.5" customHeight="1" x14ac:dyDescent="0.25">
      <c r="A63" s="203"/>
      <c r="B63" s="121" t="s">
        <v>76</v>
      </c>
      <c r="C63" s="192" t="s">
        <v>150</v>
      </c>
      <c r="D63" s="290" t="s">
        <v>151</v>
      </c>
      <c r="E63" s="291"/>
      <c r="F63" s="292"/>
      <c r="G63" s="297" t="s">
        <v>79</v>
      </c>
      <c r="H63" s="292"/>
      <c r="I63" s="290" t="s">
        <v>152</v>
      </c>
      <c r="J63" s="291"/>
      <c r="K63" s="291"/>
      <c r="L63" s="291"/>
      <c r="M63" s="291"/>
      <c r="N63" s="291"/>
      <c r="O63" s="291"/>
      <c r="P63" s="295" t="s">
        <v>153</v>
      </c>
      <c r="Q63" s="296"/>
    </row>
    <row r="64" spans="1:103" ht="87" customHeight="1" x14ac:dyDescent="0.25">
      <c r="A64" s="196"/>
      <c r="B64" s="121" t="s">
        <v>86</v>
      </c>
      <c r="C64" s="192" t="s">
        <v>154</v>
      </c>
      <c r="D64" s="267" t="s">
        <v>155</v>
      </c>
      <c r="E64" s="268"/>
      <c r="F64" s="268"/>
      <c r="G64" s="268" t="s">
        <v>156</v>
      </c>
      <c r="H64" s="268"/>
      <c r="I64" s="271" t="s">
        <v>157</v>
      </c>
      <c r="J64" s="268"/>
      <c r="K64" s="268"/>
      <c r="L64" s="268"/>
      <c r="M64" s="268"/>
      <c r="N64" s="268"/>
      <c r="O64" s="268"/>
      <c r="P64" s="272">
        <v>46241</v>
      </c>
      <c r="Q64" s="273"/>
    </row>
    <row r="65" spans="1:17" ht="58.5" customHeight="1" x14ac:dyDescent="0.25">
      <c r="A65" s="198">
        <v>46237</v>
      </c>
      <c r="B65" s="121" t="s">
        <v>146</v>
      </c>
      <c r="C65" s="192" t="s">
        <v>147</v>
      </c>
      <c r="D65" s="290" t="s">
        <v>148</v>
      </c>
      <c r="E65" s="291"/>
      <c r="F65" s="292"/>
      <c r="G65" s="297" t="s">
        <v>110</v>
      </c>
      <c r="H65" s="292"/>
      <c r="I65" s="290" t="s">
        <v>149</v>
      </c>
      <c r="J65" s="291"/>
      <c r="K65" s="291"/>
      <c r="L65" s="291"/>
      <c r="M65" s="291"/>
      <c r="N65" s="291"/>
      <c r="O65" s="291"/>
      <c r="P65" s="295">
        <v>46240</v>
      </c>
      <c r="Q65" s="296"/>
    </row>
    <row r="66" spans="1:17" ht="91.5" customHeight="1" x14ac:dyDescent="0.25">
      <c r="A66" s="203"/>
      <c r="B66" s="121" t="s">
        <v>76</v>
      </c>
      <c r="C66" s="192" t="s">
        <v>150</v>
      </c>
      <c r="D66" s="290" t="s">
        <v>151</v>
      </c>
      <c r="E66" s="291"/>
      <c r="F66" s="292"/>
      <c r="G66" s="297" t="s">
        <v>79</v>
      </c>
      <c r="H66" s="292"/>
      <c r="I66" s="290" t="s">
        <v>152</v>
      </c>
      <c r="J66" s="291"/>
      <c r="K66" s="291"/>
      <c r="L66" s="291"/>
      <c r="M66" s="291"/>
      <c r="N66" s="291"/>
      <c r="O66" s="291"/>
      <c r="P66" s="295" t="s">
        <v>153</v>
      </c>
      <c r="Q66" s="296"/>
    </row>
    <row r="67" spans="1:17" ht="87" customHeight="1" x14ac:dyDescent="0.25">
      <c r="A67" s="196"/>
      <c r="B67" s="121" t="s">
        <v>86</v>
      </c>
      <c r="C67" s="192" t="s">
        <v>154</v>
      </c>
      <c r="D67" s="267" t="s">
        <v>155</v>
      </c>
      <c r="E67" s="268"/>
      <c r="F67" s="268"/>
      <c r="G67" s="268" t="s">
        <v>156</v>
      </c>
      <c r="H67" s="268"/>
      <c r="I67" s="271" t="s">
        <v>158</v>
      </c>
      <c r="J67" s="268"/>
      <c r="K67" s="268"/>
      <c r="L67" s="268"/>
      <c r="M67" s="268"/>
      <c r="N67" s="268"/>
      <c r="O67" s="268"/>
      <c r="P67" s="272">
        <v>46241</v>
      </c>
      <c r="Q67" s="273"/>
    </row>
    <row r="68" spans="1:17" ht="42.75" customHeight="1" x14ac:dyDescent="0.25">
      <c r="A68" s="196"/>
      <c r="B68" s="121" t="s">
        <v>159</v>
      </c>
      <c r="C68" s="192" t="s">
        <v>160</v>
      </c>
      <c r="D68" s="290" t="s">
        <v>161</v>
      </c>
      <c r="E68" s="291"/>
      <c r="F68" s="292"/>
      <c r="G68" s="268" t="s">
        <v>99</v>
      </c>
      <c r="H68" s="268"/>
      <c r="I68" s="271" t="s">
        <v>162</v>
      </c>
      <c r="J68" s="268"/>
      <c r="K68" s="268"/>
      <c r="L68" s="268"/>
      <c r="M68" s="268"/>
      <c r="N68" s="268"/>
      <c r="O68" s="268"/>
      <c r="P68" s="272">
        <v>46241</v>
      </c>
      <c r="Q68" s="273"/>
    </row>
    <row r="69" spans="1:17" ht="35.25" customHeight="1" x14ac:dyDescent="0.25">
      <c r="A69" s="198">
        <v>46234</v>
      </c>
      <c r="B69" s="121" t="s">
        <v>163</v>
      </c>
      <c r="C69" s="192" t="s">
        <v>164</v>
      </c>
      <c r="D69" s="290" t="s">
        <v>165</v>
      </c>
      <c r="E69" s="291"/>
      <c r="F69" s="292"/>
      <c r="G69" s="293" t="s">
        <v>166</v>
      </c>
      <c r="H69" s="294"/>
      <c r="I69" s="290" t="s">
        <v>167</v>
      </c>
      <c r="J69" s="291"/>
      <c r="K69" s="291"/>
      <c r="L69" s="291"/>
      <c r="M69" s="291"/>
      <c r="N69" s="291"/>
      <c r="O69" s="291"/>
      <c r="P69" s="295" t="s">
        <v>168</v>
      </c>
      <c r="Q69" s="296"/>
    </row>
    <row r="70" spans="1:17" ht="35.25" customHeight="1" x14ac:dyDescent="0.25">
      <c r="A70" s="196"/>
      <c r="B70" s="121" t="s">
        <v>169</v>
      </c>
      <c r="C70" s="192" t="s">
        <v>170</v>
      </c>
      <c r="D70" s="267" t="s">
        <v>171</v>
      </c>
      <c r="E70" s="268"/>
      <c r="F70" s="268"/>
      <c r="G70" s="270" t="s">
        <v>172</v>
      </c>
      <c r="H70" s="270"/>
      <c r="I70" s="271" t="s">
        <v>173</v>
      </c>
      <c r="J70" s="268"/>
      <c r="K70" s="268"/>
      <c r="L70" s="268"/>
      <c r="M70" s="268"/>
      <c r="N70" s="268"/>
      <c r="O70" s="268"/>
      <c r="P70" s="272">
        <v>46234</v>
      </c>
      <c r="Q70" s="273"/>
    </row>
    <row r="71" spans="1:17" ht="35.25" customHeight="1" x14ac:dyDescent="0.25">
      <c r="A71" s="196"/>
      <c r="B71" s="121" t="s">
        <v>174</v>
      </c>
      <c r="C71" s="192" t="s">
        <v>175</v>
      </c>
      <c r="D71" s="267" t="s">
        <v>161</v>
      </c>
      <c r="E71" s="268"/>
      <c r="F71" s="268"/>
      <c r="G71" s="270" t="s">
        <v>172</v>
      </c>
      <c r="H71" s="270"/>
      <c r="I71" s="271" t="s">
        <v>176</v>
      </c>
      <c r="J71" s="268"/>
      <c r="K71" s="268"/>
      <c r="L71" s="268"/>
      <c r="M71" s="268"/>
      <c r="N71" s="268"/>
      <c r="O71" s="268"/>
      <c r="P71" s="272">
        <v>46241</v>
      </c>
      <c r="Q71" s="273"/>
    </row>
    <row r="72" spans="1:17" ht="39" customHeight="1" x14ac:dyDescent="0.25">
      <c r="A72" s="198">
        <v>46233</v>
      </c>
      <c r="B72" s="121" t="s">
        <v>163</v>
      </c>
      <c r="C72" s="192" t="s">
        <v>164</v>
      </c>
      <c r="D72" s="290" t="s">
        <v>165</v>
      </c>
      <c r="E72" s="291"/>
      <c r="F72" s="292"/>
      <c r="G72" s="293" t="s">
        <v>166</v>
      </c>
      <c r="H72" s="294"/>
      <c r="I72" s="290" t="s">
        <v>167</v>
      </c>
      <c r="J72" s="291"/>
      <c r="K72" s="291"/>
      <c r="L72" s="291"/>
      <c r="M72" s="291"/>
      <c r="N72" s="291"/>
      <c r="O72" s="291"/>
      <c r="P72" s="295" t="s">
        <v>168</v>
      </c>
      <c r="Q72" s="296"/>
    </row>
    <row r="73" spans="1:17" ht="41.25" customHeight="1" x14ac:dyDescent="0.25">
      <c r="A73" s="196"/>
      <c r="B73" s="121" t="s">
        <v>174</v>
      </c>
      <c r="C73" s="192" t="s">
        <v>177</v>
      </c>
      <c r="D73" s="267" t="s">
        <v>178</v>
      </c>
      <c r="E73" s="268"/>
      <c r="F73" s="268"/>
      <c r="G73" s="269" t="s">
        <v>179</v>
      </c>
      <c r="H73" s="270"/>
      <c r="I73" s="289" t="s">
        <v>180</v>
      </c>
      <c r="J73" s="268"/>
      <c r="K73" s="268"/>
      <c r="L73" s="268"/>
      <c r="M73" s="268"/>
      <c r="N73" s="268"/>
      <c r="O73" s="268"/>
      <c r="P73" s="272">
        <v>46234</v>
      </c>
      <c r="Q73" s="273"/>
    </row>
    <row r="74" spans="1:17" ht="34.5" x14ac:dyDescent="0.25">
      <c r="A74" s="196"/>
      <c r="B74" s="121" t="s">
        <v>174</v>
      </c>
      <c r="C74" s="192" t="s">
        <v>181</v>
      </c>
      <c r="D74" s="267" t="s">
        <v>161</v>
      </c>
      <c r="E74" s="268"/>
      <c r="F74" s="268"/>
      <c r="G74" s="270" t="s">
        <v>172</v>
      </c>
      <c r="H74" s="270"/>
      <c r="I74" s="271" t="s">
        <v>176</v>
      </c>
      <c r="J74" s="268"/>
      <c r="K74" s="268"/>
      <c r="L74" s="268"/>
      <c r="M74" s="268"/>
      <c r="N74" s="268"/>
      <c r="O74" s="268"/>
      <c r="P74" s="272">
        <v>46241</v>
      </c>
      <c r="Q74" s="273"/>
    </row>
    <row r="75" spans="1:17" ht="39" customHeight="1" x14ac:dyDescent="0.25">
      <c r="A75" s="198">
        <v>46232</v>
      </c>
      <c r="B75" s="121" t="s">
        <v>163</v>
      </c>
      <c r="C75" s="192" t="s">
        <v>164</v>
      </c>
      <c r="D75" s="290" t="s">
        <v>165</v>
      </c>
      <c r="E75" s="291"/>
      <c r="F75" s="292"/>
      <c r="G75" s="293" t="s">
        <v>166</v>
      </c>
      <c r="H75" s="294"/>
      <c r="I75" s="290" t="s">
        <v>167</v>
      </c>
      <c r="J75" s="291"/>
      <c r="K75" s="291"/>
      <c r="L75" s="291"/>
      <c r="M75" s="291"/>
      <c r="N75" s="291"/>
      <c r="O75" s="291"/>
      <c r="P75" s="295" t="s">
        <v>168</v>
      </c>
      <c r="Q75" s="296"/>
    </row>
    <row r="76" spans="1:17" ht="23" x14ac:dyDescent="0.25">
      <c r="A76" s="196"/>
      <c r="B76" s="121" t="s">
        <v>182</v>
      </c>
      <c r="C76" s="192" t="s">
        <v>183</v>
      </c>
      <c r="D76" s="267" t="s">
        <v>184</v>
      </c>
      <c r="E76" s="268"/>
      <c r="F76" s="268"/>
      <c r="G76" s="269" t="s">
        <v>172</v>
      </c>
      <c r="H76" s="270"/>
      <c r="I76" s="289" t="s">
        <v>185</v>
      </c>
      <c r="J76" s="268"/>
      <c r="K76" s="268"/>
      <c r="L76" s="268"/>
      <c r="M76" s="268"/>
      <c r="N76" s="268"/>
      <c r="O76" s="268"/>
      <c r="P76" s="272">
        <v>46223</v>
      </c>
      <c r="Q76" s="273"/>
    </row>
    <row r="77" spans="1:17" ht="46.5" customHeight="1" x14ac:dyDescent="0.25">
      <c r="A77" s="196"/>
      <c r="B77" s="121" t="s">
        <v>174</v>
      </c>
      <c r="C77" s="192" t="s">
        <v>177</v>
      </c>
      <c r="D77" s="267" t="s">
        <v>178</v>
      </c>
      <c r="E77" s="268"/>
      <c r="F77" s="268"/>
      <c r="G77" s="269" t="s">
        <v>179</v>
      </c>
      <c r="H77" s="270"/>
      <c r="I77" s="289" t="s">
        <v>180</v>
      </c>
      <c r="J77" s="268"/>
      <c r="K77" s="268"/>
      <c r="L77" s="268"/>
      <c r="M77" s="268"/>
      <c r="N77" s="268"/>
      <c r="O77" s="268"/>
      <c r="P77" s="272">
        <v>46234</v>
      </c>
      <c r="Q77" s="273"/>
    </row>
    <row r="78" spans="1:17" ht="34.5" x14ac:dyDescent="0.25">
      <c r="A78" s="196"/>
      <c r="B78" s="121" t="s">
        <v>174</v>
      </c>
      <c r="C78" s="192" t="s">
        <v>186</v>
      </c>
      <c r="D78" s="267" t="s">
        <v>161</v>
      </c>
      <c r="E78" s="268"/>
      <c r="F78" s="268"/>
      <c r="G78" s="270" t="s">
        <v>172</v>
      </c>
      <c r="H78" s="270"/>
      <c r="I78" s="271" t="s">
        <v>176</v>
      </c>
      <c r="J78" s="268"/>
      <c r="K78" s="268"/>
      <c r="L78" s="268"/>
      <c r="M78" s="268"/>
      <c r="N78" s="268"/>
      <c r="O78" s="268"/>
      <c r="P78" s="272">
        <v>46241</v>
      </c>
      <c r="Q78" s="273"/>
    </row>
    <row r="79" spans="1:17" ht="39" customHeight="1" x14ac:dyDescent="0.25">
      <c r="A79" s="198">
        <v>46231</v>
      </c>
      <c r="B79" s="121" t="s">
        <v>163</v>
      </c>
      <c r="C79" s="192" t="s">
        <v>164</v>
      </c>
      <c r="D79" s="290" t="s">
        <v>165</v>
      </c>
      <c r="E79" s="291"/>
      <c r="F79" s="292"/>
      <c r="G79" s="293" t="s">
        <v>166</v>
      </c>
      <c r="H79" s="294"/>
      <c r="I79" s="290" t="s">
        <v>167</v>
      </c>
      <c r="J79" s="291"/>
      <c r="K79" s="291"/>
      <c r="L79" s="291"/>
      <c r="M79" s="291"/>
      <c r="N79" s="291"/>
      <c r="O79" s="291"/>
      <c r="P79" s="295" t="s">
        <v>168</v>
      </c>
      <c r="Q79" s="296"/>
    </row>
    <row r="80" spans="1:17" ht="26.25" customHeight="1" x14ac:dyDescent="0.25">
      <c r="A80" s="196"/>
      <c r="B80" s="121" t="s">
        <v>101</v>
      </c>
      <c r="C80" s="192" t="s">
        <v>102</v>
      </c>
      <c r="D80" s="267" t="s">
        <v>161</v>
      </c>
      <c r="E80" s="268"/>
      <c r="F80" s="268"/>
      <c r="G80" s="269" t="s">
        <v>103</v>
      </c>
      <c r="H80" s="270"/>
      <c r="I80" s="271" t="s">
        <v>187</v>
      </c>
      <c r="J80" s="268"/>
      <c r="K80" s="268"/>
      <c r="L80" s="268"/>
      <c r="M80" s="268"/>
      <c r="N80" s="268"/>
      <c r="O80" s="268"/>
      <c r="P80" s="272">
        <v>46226</v>
      </c>
      <c r="Q80" s="273"/>
    </row>
    <row r="81" spans="1:61" ht="42.75" customHeight="1" x14ac:dyDescent="0.25">
      <c r="A81" s="196"/>
      <c r="B81" s="121" t="s">
        <v>174</v>
      </c>
      <c r="C81" s="192" t="s">
        <v>188</v>
      </c>
      <c r="D81" s="267" t="s">
        <v>178</v>
      </c>
      <c r="E81" s="268"/>
      <c r="F81" s="268"/>
      <c r="G81" s="269" t="s">
        <v>179</v>
      </c>
      <c r="H81" s="270"/>
      <c r="I81" s="289" t="s">
        <v>180</v>
      </c>
      <c r="J81" s="268"/>
      <c r="K81" s="268"/>
      <c r="L81" s="268"/>
      <c r="M81" s="268"/>
      <c r="N81" s="268"/>
      <c r="O81" s="268"/>
      <c r="P81" s="272">
        <v>46234</v>
      </c>
      <c r="Q81" s="273"/>
    </row>
    <row r="82" spans="1:61" ht="34.5" x14ac:dyDescent="0.25">
      <c r="A82" s="196"/>
      <c r="B82" s="121" t="s">
        <v>174</v>
      </c>
      <c r="C82" s="192" t="s">
        <v>186</v>
      </c>
      <c r="D82" s="267" t="s">
        <v>161</v>
      </c>
      <c r="E82" s="268"/>
      <c r="F82" s="268"/>
      <c r="G82" s="270" t="s">
        <v>172</v>
      </c>
      <c r="H82" s="270"/>
      <c r="I82" s="271" t="s">
        <v>189</v>
      </c>
      <c r="J82" s="268"/>
      <c r="K82" s="268"/>
      <c r="L82" s="268"/>
      <c r="M82" s="268"/>
      <c r="N82" s="268"/>
      <c r="O82" s="268"/>
      <c r="P82" s="272">
        <v>46226</v>
      </c>
      <c r="Q82" s="273"/>
    </row>
    <row r="83" spans="1:61" ht="39" customHeight="1" x14ac:dyDescent="0.25">
      <c r="A83" s="198">
        <v>46226</v>
      </c>
      <c r="B83" s="121" t="s">
        <v>163</v>
      </c>
      <c r="C83" s="192" t="s">
        <v>164</v>
      </c>
      <c r="D83" s="290" t="s">
        <v>165</v>
      </c>
      <c r="E83" s="291"/>
      <c r="F83" s="292"/>
      <c r="G83" s="293" t="s">
        <v>166</v>
      </c>
      <c r="H83" s="294"/>
      <c r="I83" s="290" t="s">
        <v>167</v>
      </c>
      <c r="J83" s="291"/>
      <c r="K83" s="291"/>
      <c r="L83" s="291"/>
      <c r="M83" s="291"/>
      <c r="N83" s="291"/>
      <c r="O83" s="291"/>
      <c r="P83" s="295" t="s">
        <v>168</v>
      </c>
      <c r="Q83" s="296"/>
    </row>
    <row r="84" spans="1:61" ht="23" x14ac:dyDescent="0.25">
      <c r="A84" s="196"/>
      <c r="B84" s="121" t="s">
        <v>101</v>
      </c>
      <c r="C84" s="192" t="s">
        <v>102</v>
      </c>
      <c r="D84" s="267" t="s">
        <v>161</v>
      </c>
      <c r="E84" s="268"/>
      <c r="F84" s="268"/>
      <c r="G84" s="269" t="s">
        <v>103</v>
      </c>
      <c r="H84" s="270"/>
      <c r="I84" s="271" t="s">
        <v>187</v>
      </c>
      <c r="J84" s="268"/>
      <c r="K84" s="268"/>
      <c r="L84" s="268"/>
      <c r="M84" s="268"/>
      <c r="N84" s="268"/>
      <c r="O84" s="268"/>
      <c r="P84" s="272">
        <v>46226</v>
      </c>
      <c r="Q84" s="273"/>
    </row>
    <row r="85" spans="1:61" ht="23" x14ac:dyDescent="0.25">
      <c r="A85" s="196"/>
      <c r="B85" s="121" t="s">
        <v>169</v>
      </c>
      <c r="C85" s="192" t="s">
        <v>170</v>
      </c>
      <c r="D85" s="267" t="s">
        <v>171</v>
      </c>
      <c r="E85" s="268"/>
      <c r="F85" s="268"/>
      <c r="G85" s="270" t="s">
        <v>172</v>
      </c>
      <c r="H85" s="270"/>
      <c r="I85" s="271" t="s">
        <v>190</v>
      </c>
      <c r="J85" s="268"/>
      <c r="K85" s="268"/>
      <c r="L85" s="268"/>
      <c r="M85" s="268"/>
      <c r="N85" s="268"/>
      <c r="O85" s="268"/>
      <c r="P85" s="272">
        <v>46232</v>
      </c>
      <c r="Q85" s="273"/>
    </row>
    <row r="86" spans="1:61" ht="46.5" customHeight="1" x14ac:dyDescent="0.25">
      <c r="A86" s="196"/>
      <c r="B86" s="121" t="s">
        <v>174</v>
      </c>
      <c r="C86" s="192" t="s">
        <v>188</v>
      </c>
      <c r="D86" s="267" t="s">
        <v>191</v>
      </c>
      <c r="E86" s="268"/>
      <c r="F86" s="268"/>
      <c r="G86" s="269" t="s">
        <v>179</v>
      </c>
      <c r="H86" s="270"/>
      <c r="I86" s="289" t="s">
        <v>180</v>
      </c>
      <c r="J86" s="268"/>
      <c r="K86" s="268"/>
      <c r="L86" s="268"/>
      <c r="M86" s="268"/>
      <c r="N86" s="268"/>
      <c r="O86" s="268"/>
      <c r="P86" s="272">
        <v>46234</v>
      </c>
      <c r="Q86" s="273"/>
    </row>
    <row r="87" spans="1:61" ht="34.5" x14ac:dyDescent="0.25">
      <c r="A87" s="196"/>
      <c r="B87" s="121" t="s">
        <v>174</v>
      </c>
      <c r="C87" s="192" t="s">
        <v>186</v>
      </c>
      <c r="D87" s="267" t="s">
        <v>161</v>
      </c>
      <c r="E87" s="268"/>
      <c r="F87" s="268"/>
      <c r="G87" s="270" t="s">
        <v>172</v>
      </c>
      <c r="H87" s="270"/>
      <c r="I87" s="271" t="s">
        <v>189</v>
      </c>
      <c r="J87" s="268"/>
      <c r="K87" s="268"/>
      <c r="L87" s="268"/>
      <c r="M87" s="268"/>
      <c r="N87" s="268"/>
      <c r="O87" s="268"/>
      <c r="P87" s="272">
        <v>46227</v>
      </c>
      <c r="Q87" s="273"/>
    </row>
    <row r="88" spans="1:61" ht="38.25" customHeight="1" x14ac:dyDescent="0.25">
      <c r="A88" s="198">
        <v>46225</v>
      </c>
      <c r="B88" s="121" t="s">
        <v>163</v>
      </c>
      <c r="C88" s="192" t="s">
        <v>164</v>
      </c>
      <c r="D88" s="290" t="s">
        <v>192</v>
      </c>
      <c r="E88" s="291"/>
      <c r="F88" s="292"/>
      <c r="G88" s="293" t="s">
        <v>166</v>
      </c>
      <c r="H88" s="294"/>
      <c r="I88" s="297" t="s">
        <v>193</v>
      </c>
      <c r="J88" s="291"/>
      <c r="K88" s="291"/>
      <c r="L88" s="291"/>
      <c r="M88" s="291"/>
      <c r="N88" s="291"/>
      <c r="O88" s="291"/>
      <c r="P88" s="295" t="s">
        <v>168</v>
      </c>
      <c r="Q88" s="296"/>
    </row>
    <row r="89" spans="1:61" ht="23" x14ac:dyDescent="0.25">
      <c r="A89" s="196"/>
      <c r="B89" s="121" t="s">
        <v>101</v>
      </c>
      <c r="C89" s="192" t="s">
        <v>102</v>
      </c>
      <c r="D89" s="267" t="s">
        <v>194</v>
      </c>
      <c r="E89" s="268"/>
      <c r="F89" s="268"/>
      <c r="G89" s="269" t="s">
        <v>103</v>
      </c>
      <c r="H89" s="270"/>
      <c r="I89" s="271" t="s">
        <v>195</v>
      </c>
      <c r="J89" s="268"/>
      <c r="K89" s="268"/>
      <c r="L89" s="268"/>
      <c r="M89" s="268"/>
      <c r="N89" s="268"/>
      <c r="O89" s="268"/>
      <c r="P89" s="272">
        <v>46226</v>
      </c>
      <c r="Q89" s="273"/>
    </row>
    <row r="90" spans="1:61" ht="23" x14ac:dyDescent="0.25">
      <c r="A90" s="196"/>
      <c r="B90" s="121" t="s">
        <v>169</v>
      </c>
      <c r="C90" s="192" t="s">
        <v>170</v>
      </c>
      <c r="D90" s="267" t="s">
        <v>171</v>
      </c>
      <c r="E90" s="268"/>
      <c r="F90" s="268"/>
      <c r="G90" s="270" t="s">
        <v>172</v>
      </c>
      <c r="H90" s="270"/>
      <c r="I90" s="271" t="s">
        <v>190</v>
      </c>
      <c r="J90" s="268"/>
      <c r="K90" s="268"/>
      <c r="L90" s="268"/>
      <c r="M90" s="268"/>
      <c r="N90" s="268"/>
      <c r="O90" s="268"/>
      <c r="P90" s="272">
        <v>46226</v>
      </c>
      <c r="Q90" s="273"/>
    </row>
    <row r="91" spans="1:61" ht="23" x14ac:dyDescent="0.25">
      <c r="A91" s="196"/>
      <c r="B91" s="121" t="s">
        <v>174</v>
      </c>
      <c r="C91" s="192" t="s">
        <v>188</v>
      </c>
      <c r="D91" s="267" t="s">
        <v>178</v>
      </c>
      <c r="E91" s="268"/>
      <c r="F91" s="268"/>
      <c r="G91" s="269" t="s">
        <v>179</v>
      </c>
      <c r="H91" s="270"/>
      <c r="I91" s="289" t="s">
        <v>180</v>
      </c>
      <c r="J91" s="268"/>
      <c r="K91" s="268"/>
      <c r="L91" s="268"/>
      <c r="M91" s="268"/>
      <c r="N91" s="268"/>
      <c r="O91" s="268"/>
      <c r="P91" s="272">
        <v>46234</v>
      </c>
      <c r="Q91" s="273"/>
    </row>
    <row r="92" spans="1:61" ht="34.5" x14ac:dyDescent="0.25">
      <c r="A92" s="196"/>
      <c r="B92" s="121" t="s">
        <v>174</v>
      </c>
      <c r="C92" s="192" t="s">
        <v>186</v>
      </c>
      <c r="D92" s="267" t="s">
        <v>196</v>
      </c>
      <c r="E92" s="268"/>
      <c r="F92" s="268"/>
      <c r="G92" s="270" t="s">
        <v>172</v>
      </c>
      <c r="H92" s="270"/>
      <c r="I92" s="271" t="s">
        <v>190</v>
      </c>
      <c r="J92" s="268"/>
      <c r="K92" s="268"/>
      <c r="L92" s="268"/>
      <c r="M92" s="268"/>
      <c r="N92" s="268"/>
      <c r="O92" s="268"/>
      <c r="P92" s="272">
        <v>46226</v>
      </c>
      <c r="Q92" s="273"/>
    </row>
    <row r="93" spans="1:61" ht="28.5" customHeight="1" x14ac:dyDescent="0.25">
      <c r="A93" s="198">
        <v>46224</v>
      </c>
      <c r="B93" s="121" t="s">
        <v>197</v>
      </c>
      <c r="C93" s="192" t="s">
        <v>198</v>
      </c>
      <c r="D93" s="301" t="s">
        <v>199</v>
      </c>
      <c r="E93" s="302"/>
      <c r="F93" s="302"/>
      <c r="G93" s="303" t="s">
        <v>200</v>
      </c>
      <c r="H93" s="304"/>
      <c r="I93" s="305" t="s">
        <v>201</v>
      </c>
      <c r="J93" s="302"/>
      <c r="K93" s="302"/>
      <c r="L93" s="302"/>
      <c r="M93" s="302"/>
      <c r="N93" s="302"/>
      <c r="O93" s="302"/>
      <c r="P93" s="306">
        <v>46226</v>
      </c>
      <c r="Q93" s="307"/>
      <c r="BI93" s="191"/>
    </row>
    <row r="94" spans="1:61" ht="30" customHeight="1" x14ac:dyDescent="0.25">
      <c r="A94" s="196"/>
      <c r="B94" s="121" t="s">
        <v>163</v>
      </c>
      <c r="C94" s="192" t="s">
        <v>164</v>
      </c>
      <c r="D94" s="290" t="s">
        <v>192</v>
      </c>
      <c r="E94" s="291"/>
      <c r="F94" s="292"/>
      <c r="G94" s="293" t="s">
        <v>166</v>
      </c>
      <c r="H94" s="294"/>
      <c r="I94" s="297" t="s">
        <v>193</v>
      </c>
      <c r="J94" s="291"/>
      <c r="K94" s="291"/>
      <c r="L94" s="291"/>
      <c r="M94" s="291"/>
      <c r="N94" s="291"/>
      <c r="O94" s="291"/>
      <c r="P94" s="295" t="s">
        <v>168</v>
      </c>
      <c r="Q94" s="296"/>
    </row>
    <row r="95" spans="1:61" ht="27" customHeight="1" x14ac:dyDescent="0.25">
      <c r="A95" s="196"/>
      <c r="B95" s="121" t="s">
        <v>101</v>
      </c>
      <c r="C95" s="192" t="s">
        <v>102</v>
      </c>
      <c r="D95" s="267" t="s">
        <v>194</v>
      </c>
      <c r="E95" s="268"/>
      <c r="F95" s="268"/>
      <c r="G95" s="269" t="s">
        <v>103</v>
      </c>
      <c r="H95" s="270"/>
      <c r="I95" s="271" t="s">
        <v>195</v>
      </c>
      <c r="J95" s="268"/>
      <c r="K95" s="268"/>
      <c r="L95" s="268"/>
      <c r="M95" s="268"/>
      <c r="N95" s="268"/>
      <c r="O95" s="268"/>
      <c r="P95" s="272">
        <v>46226</v>
      </c>
      <c r="Q95" s="273"/>
    </row>
    <row r="96" spans="1:61" ht="43.5" customHeight="1" x14ac:dyDescent="0.25">
      <c r="A96" s="196"/>
      <c r="B96" s="121" t="s">
        <v>174</v>
      </c>
      <c r="C96" s="192" t="s">
        <v>202</v>
      </c>
      <c r="D96" s="267" t="s">
        <v>203</v>
      </c>
      <c r="E96" s="268"/>
      <c r="F96" s="268"/>
      <c r="G96" s="269" t="s">
        <v>204</v>
      </c>
      <c r="H96" s="270"/>
      <c r="I96" s="271" t="s">
        <v>205</v>
      </c>
      <c r="J96" s="268"/>
      <c r="K96" s="268"/>
      <c r="L96" s="268"/>
      <c r="M96" s="268"/>
      <c r="N96" s="268"/>
      <c r="O96" s="268"/>
      <c r="P96" s="272">
        <v>46234</v>
      </c>
      <c r="Q96" s="273"/>
    </row>
    <row r="97" spans="1:61" ht="29.25" customHeight="1" x14ac:dyDescent="0.25">
      <c r="A97" s="196"/>
      <c r="B97" s="121" t="s">
        <v>169</v>
      </c>
      <c r="C97" s="192" t="s">
        <v>118</v>
      </c>
      <c r="D97" s="267" t="s">
        <v>171</v>
      </c>
      <c r="E97" s="268"/>
      <c r="F97" s="268"/>
      <c r="G97" s="270" t="s">
        <v>172</v>
      </c>
      <c r="H97" s="270"/>
      <c r="I97" s="271" t="s">
        <v>190</v>
      </c>
      <c r="J97" s="268"/>
      <c r="K97" s="268"/>
      <c r="L97" s="268"/>
      <c r="M97" s="268"/>
      <c r="N97" s="268"/>
      <c r="O97" s="268"/>
      <c r="P97" s="272">
        <v>46226</v>
      </c>
      <c r="Q97" s="273"/>
    </row>
    <row r="98" spans="1:61" ht="36.75" customHeight="1" x14ac:dyDescent="0.25">
      <c r="A98" s="198">
        <v>46223</v>
      </c>
      <c r="B98" s="121" t="s">
        <v>197</v>
      </c>
      <c r="C98" s="192" t="s">
        <v>198</v>
      </c>
      <c r="D98" s="301" t="s">
        <v>199</v>
      </c>
      <c r="E98" s="302"/>
      <c r="F98" s="302"/>
      <c r="G98" s="303" t="s">
        <v>200</v>
      </c>
      <c r="H98" s="304"/>
      <c r="I98" s="305" t="s">
        <v>201</v>
      </c>
      <c r="J98" s="302"/>
      <c r="K98" s="302"/>
      <c r="L98" s="302"/>
      <c r="M98" s="302"/>
      <c r="N98" s="302"/>
      <c r="O98" s="302"/>
      <c r="P98" s="306">
        <v>46226</v>
      </c>
      <c r="Q98" s="307"/>
      <c r="BI98" s="191"/>
    </row>
    <row r="99" spans="1:61" ht="36.75" customHeight="1" x14ac:dyDescent="0.25">
      <c r="A99" s="196"/>
      <c r="B99" s="121" t="s">
        <v>163</v>
      </c>
      <c r="C99" s="192" t="s">
        <v>164</v>
      </c>
      <c r="D99" s="290" t="s">
        <v>206</v>
      </c>
      <c r="E99" s="291"/>
      <c r="F99" s="292"/>
      <c r="G99" s="293" t="s">
        <v>166</v>
      </c>
      <c r="H99" s="294"/>
      <c r="I99" s="297" t="s">
        <v>193</v>
      </c>
      <c r="J99" s="291"/>
      <c r="K99" s="291"/>
      <c r="L99" s="291"/>
      <c r="M99" s="291"/>
      <c r="N99" s="291"/>
      <c r="O99" s="291"/>
      <c r="P99" s="295">
        <v>46228</v>
      </c>
      <c r="Q99" s="296"/>
    </row>
    <row r="100" spans="1:61" ht="35.25" customHeight="1" x14ac:dyDescent="0.25">
      <c r="A100" s="196"/>
      <c r="B100" s="121" t="s">
        <v>182</v>
      </c>
      <c r="C100" s="192" t="s">
        <v>207</v>
      </c>
      <c r="D100" s="267" t="s">
        <v>194</v>
      </c>
      <c r="E100" s="268"/>
      <c r="F100" s="268"/>
      <c r="G100" s="269" t="s">
        <v>172</v>
      </c>
      <c r="H100" s="270"/>
      <c r="I100" s="271" t="s">
        <v>190</v>
      </c>
      <c r="J100" s="268"/>
      <c r="K100" s="268"/>
      <c r="L100" s="268"/>
      <c r="M100" s="268"/>
      <c r="N100" s="268"/>
      <c r="O100" s="268"/>
      <c r="P100" s="317">
        <v>46226</v>
      </c>
      <c r="Q100" s="296"/>
    </row>
    <row r="101" spans="1:61" ht="35.25" customHeight="1" x14ac:dyDescent="0.25">
      <c r="A101" s="196"/>
      <c r="B101" s="121" t="s">
        <v>101</v>
      </c>
      <c r="C101" s="192" t="s">
        <v>102</v>
      </c>
      <c r="D101" s="267" t="s">
        <v>194</v>
      </c>
      <c r="E101" s="268"/>
      <c r="F101" s="268"/>
      <c r="G101" s="269" t="s">
        <v>103</v>
      </c>
      <c r="H101" s="270"/>
      <c r="I101" s="271" t="s">
        <v>195</v>
      </c>
      <c r="J101" s="268"/>
      <c r="K101" s="268"/>
      <c r="L101" s="268"/>
      <c r="M101" s="268"/>
      <c r="N101" s="268"/>
      <c r="O101" s="268"/>
      <c r="P101" s="272">
        <v>46226</v>
      </c>
      <c r="Q101" s="273"/>
    </row>
    <row r="102" spans="1:61" ht="36.75" customHeight="1" x14ac:dyDescent="0.25">
      <c r="A102" s="196"/>
      <c r="B102" s="121" t="s">
        <v>174</v>
      </c>
      <c r="C102" s="192" t="s">
        <v>208</v>
      </c>
      <c r="D102" s="268" t="s">
        <v>194</v>
      </c>
      <c r="E102" s="268"/>
      <c r="F102" s="268"/>
      <c r="G102" s="269" t="s">
        <v>172</v>
      </c>
      <c r="H102" s="270"/>
      <c r="I102" s="271" t="s">
        <v>209</v>
      </c>
      <c r="J102" s="268"/>
      <c r="K102" s="268"/>
      <c r="L102" s="268"/>
      <c r="M102" s="268"/>
      <c r="N102" s="268"/>
      <c r="O102" s="268"/>
      <c r="P102" s="272">
        <v>46226</v>
      </c>
      <c r="Q102" s="273"/>
    </row>
    <row r="103" spans="1:61" ht="30.75" customHeight="1" x14ac:dyDescent="0.25">
      <c r="A103" s="196"/>
      <c r="B103" s="121" t="s">
        <v>169</v>
      </c>
      <c r="C103" s="192" t="s">
        <v>118</v>
      </c>
      <c r="D103" s="267" t="s">
        <v>194</v>
      </c>
      <c r="E103" s="268"/>
      <c r="F103" s="268"/>
      <c r="G103" s="270" t="s">
        <v>172</v>
      </c>
      <c r="H103" s="270"/>
      <c r="I103" s="271" t="s">
        <v>190</v>
      </c>
      <c r="J103" s="268"/>
      <c r="K103" s="268"/>
      <c r="L103" s="268"/>
      <c r="M103" s="268"/>
      <c r="N103" s="268"/>
      <c r="O103" s="268"/>
      <c r="P103" s="272">
        <v>46226</v>
      </c>
      <c r="Q103" s="273"/>
    </row>
    <row r="104" spans="1:61" ht="29.25" customHeight="1" x14ac:dyDescent="0.25">
      <c r="A104" s="315">
        <v>46222</v>
      </c>
      <c r="B104" s="121" t="s">
        <v>197</v>
      </c>
      <c r="C104" s="192" t="s">
        <v>198</v>
      </c>
      <c r="D104" s="308" t="s">
        <v>194</v>
      </c>
      <c r="E104" s="309"/>
      <c r="F104" s="309"/>
      <c r="G104" s="270" t="s">
        <v>200</v>
      </c>
      <c r="H104" s="270"/>
      <c r="I104" s="271" t="s">
        <v>201</v>
      </c>
      <c r="J104" s="268"/>
      <c r="K104" s="268"/>
      <c r="L104" s="268"/>
      <c r="M104" s="268"/>
      <c r="N104" s="268"/>
      <c r="O104" s="268"/>
      <c r="P104" s="272">
        <v>46226</v>
      </c>
      <c r="Q104" s="273"/>
    </row>
    <row r="105" spans="1:61" ht="27.75" customHeight="1" x14ac:dyDescent="0.25">
      <c r="A105" s="316"/>
      <c r="B105" s="121" t="s">
        <v>210</v>
      </c>
      <c r="C105" s="192" t="s">
        <v>211</v>
      </c>
      <c r="D105" s="267" t="s">
        <v>194</v>
      </c>
      <c r="E105" s="268"/>
      <c r="F105" s="268"/>
      <c r="G105" s="270" t="s">
        <v>166</v>
      </c>
      <c r="H105" s="270"/>
      <c r="I105" s="271" t="s">
        <v>212</v>
      </c>
      <c r="J105" s="268"/>
      <c r="K105" s="268"/>
      <c r="L105" s="268"/>
      <c r="M105" s="268"/>
      <c r="N105" s="268"/>
      <c r="O105" s="268"/>
      <c r="P105" s="272">
        <v>46226</v>
      </c>
      <c r="Q105" s="273"/>
    </row>
    <row r="106" spans="1:61" ht="33" customHeight="1" x14ac:dyDescent="0.25">
      <c r="A106" s="196"/>
      <c r="B106" s="121" t="s">
        <v>163</v>
      </c>
      <c r="C106" s="192" t="s">
        <v>164</v>
      </c>
      <c r="D106" s="298" t="s">
        <v>194</v>
      </c>
      <c r="E106" s="299"/>
      <c r="F106" s="300"/>
      <c r="G106" s="270" t="s">
        <v>166</v>
      </c>
      <c r="H106" s="270"/>
      <c r="I106" s="271" t="s">
        <v>190</v>
      </c>
      <c r="J106" s="268"/>
      <c r="K106" s="268"/>
      <c r="L106" s="268"/>
      <c r="M106" s="268"/>
      <c r="N106" s="268"/>
      <c r="O106" s="268"/>
      <c r="P106" s="272">
        <v>46226</v>
      </c>
      <c r="Q106" s="273"/>
    </row>
    <row r="107" spans="1:61" ht="33" customHeight="1" x14ac:dyDescent="0.25">
      <c r="A107" s="196"/>
      <c r="B107" s="121" t="s">
        <v>213</v>
      </c>
      <c r="C107" s="192" t="s">
        <v>214</v>
      </c>
      <c r="D107" s="267" t="s">
        <v>215</v>
      </c>
      <c r="E107" s="268"/>
      <c r="F107" s="268"/>
      <c r="G107" s="269" t="s">
        <v>216</v>
      </c>
      <c r="H107" s="270"/>
      <c r="I107" s="271" t="s">
        <v>217</v>
      </c>
      <c r="J107" s="268"/>
      <c r="K107" s="268"/>
      <c r="L107" s="268"/>
      <c r="M107" s="268"/>
      <c r="N107" s="268"/>
      <c r="O107" s="268"/>
      <c r="P107" s="272">
        <v>46233</v>
      </c>
      <c r="Q107" s="273"/>
    </row>
    <row r="108" spans="1:61" ht="33" customHeight="1" x14ac:dyDescent="0.25">
      <c r="A108" s="196"/>
      <c r="B108" s="121" t="s">
        <v>16</v>
      </c>
      <c r="C108" s="192" t="s">
        <v>218</v>
      </c>
      <c r="D108" s="267" t="s">
        <v>194</v>
      </c>
      <c r="E108" s="268"/>
      <c r="F108" s="268"/>
      <c r="G108" s="270" t="s">
        <v>172</v>
      </c>
      <c r="H108" s="270"/>
      <c r="I108" s="271" t="s">
        <v>219</v>
      </c>
      <c r="J108" s="268"/>
      <c r="K108" s="268"/>
      <c r="L108" s="268"/>
      <c r="M108" s="268"/>
      <c r="N108" s="268"/>
      <c r="O108" s="268"/>
      <c r="P108" s="272">
        <v>46226</v>
      </c>
      <c r="Q108" s="273"/>
    </row>
    <row r="109" spans="1:61" ht="33" customHeight="1" x14ac:dyDescent="0.25">
      <c r="A109" s="196"/>
      <c r="B109" s="121" t="s">
        <v>182</v>
      </c>
      <c r="C109" s="192" t="s">
        <v>207</v>
      </c>
      <c r="D109" s="267" t="s">
        <v>194</v>
      </c>
      <c r="E109" s="268"/>
      <c r="F109" s="268"/>
      <c r="G109" s="269" t="s">
        <v>172</v>
      </c>
      <c r="H109" s="270"/>
      <c r="I109" s="271" t="s">
        <v>190</v>
      </c>
      <c r="J109" s="268"/>
      <c r="K109" s="268"/>
      <c r="L109" s="268"/>
      <c r="M109" s="268"/>
      <c r="N109" s="268"/>
      <c r="O109" s="268"/>
      <c r="P109" s="272">
        <v>46226</v>
      </c>
      <c r="Q109" s="273"/>
    </row>
    <row r="110" spans="1:61" ht="22.5" customHeight="1" x14ac:dyDescent="0.25">
      <c r="A110" s="196"/>
      <c r="B110" s="121" t="s">
        <v>182</v>
      </c>
      <c r="C110" s="192" t="s">
        <v>220</v>
      </c>
      <c r="D110" s="267" t="s">
        <v>221</v>
      </c>
      <c r="E110" s="268"/>
      <c r="F110" s="268"/>
      <c r="G110" s="269" t="s">
        <v>172</v>
      </c>
      <c r="H110" s="270"/>
      <c r="I110" s="289" t="s">
        <v>222</v>
      </c>
      <c r="J110" s="268"/>
      <c r="K110" s="268"/>
      <c r="L110" s="268"/>
      <c r="M110" s="268"/>
      <c r="N110" s="268"/>
      <c r="O110" s="268"/>
      <c r="P110" s="272">
        <v>46224</v>
      </c>
      <c r="Q110" s="273"/>
      <c r="AA110" s="120"/>
    </row>
    <row r="111" spans="1:61" ht="33" customHeight="1" x14ac:dyDescent="0.25">
      <c r="A111" s="196"/>
      <c r="B111" s="121" t="s">
        <v>101</v>
      </c>
      <c r="C111" s="192" t="s">
        <v>102</v>
      </c>
      <c r="D111" s="267" t="s">
        <v>194</v>
      </c>
      <c r="E111" s="268"/>
      <c r="F111" s="268"/>
      <c r="G111" s="269" t="s">
        <v>103</v>
      </c>
      <c r="H111" s="270"/>
      <c r="I111" s="271" t="s">
        <v>195</v>
      </c>
      <c r="J111" s="268"/>
      <c r="K111" s="268"/>
      <c r="L111" s="268"/>
      <c r="M111" s="268"/>
      <c r="N111" s="268"/>
      <c r="O111" s="268"/>
      <c r="P111" s="272">
        <v>46226</v>
      </c>
      <c r="Q111" s="273"/>
    </row>
    <row r="112" spans="1:61" ht="33" customHeight="1" x14ac:dyDescent="0.25">
      <c r="A112" s="196"/>
      <c r="B112" s="121" t="s">
        <v>174</v>
      </c>
      <c r="C112" s="192" t="s">
        <v>208</v>
      </c>
      <c r="D112" s="268" t="s">
        <v>194</v>
      </c>
      <c r="E112" s="268"/>
      <c r="F112" s="268"/>
      <c r="G112" s="269" t="s">
        <v>172</v>
      </c>
      <c r="H112" s="270"/>
      <c r="I112" s="271" t="s">
        <v>209</v>
      </c>
      <c r="J112" s="268"/>
      <c r="K112" s="268"/>
      <c r="L112" s="268"/>
      <c r="M112" s="268"/>
      <c r="N112" s="268"/>
      <c r="O112" s="268"/>
      <c r="P112" s="272">
        <v>46226</v>
      </c>
      <c r="Q112" s="273"/>
    </row>
    <row r="113" spans="1:27" ht="33" customHeight="1" x14ac:dyDescent="0.25">
      <c r="A113" s="196"/>
      <c r="B113" s="121" t="s">
        <v>169</v>
      </c>
      <c r="C113" s="192" t="s">
        <v>223</v>
      </c>
      <c r="D113" s="267" t="s">
        <v>194</v>
      </c>
      <c r="E113" s="268"/>
      <c r="F113" s="268"/>
      <c r="G113" s="270" t="s">
        <v>172</v>
      </c>
      <c r="H113" s="270"/>
      <c r="I113" s="271" t="s">
        <v>190</v>
      </c>
      <c r="J113" s="268"/>
      <c r="K113" s="268"/>
      <c r="L113" s="268"/>
      <c r="M113" s="268"/>
      <c r="N113" s="268"/>
      <c r="O113" s="268"/>
      <c r="P113" s="272">
        <v>46226</v>
      </c>
      <c r="Q113" s="273"/>
    </row>
    <row r="114" spans="1:27" ht="33" customHeight="1" x14ac:dyDescent="0.25">
      <c r="A114" s="315">
        <v>46219</v>
      </c>
      <c r="B114" s="121" t="s">
        <v>197</v>
      </c>
      <c r="C114" s="192" t="s">
        <v>198</v>
      </c>
      <c r="D114" s="308" t="s">
        <v>194</v>
      </c>
      <c r="E114" s="309"/>
      <c r="F114" s="309"/>
      <c r="G114" s="270" t="s">
        <v>200</v>
      </c>
      <c r="H114" s="270"/>
      <c r="I114" s="271" t="s">
        <v>224</v>
      </c>
      <c r="J114" s="268"/>
      <c r="K114" s="268"/>
      <c r="L114" s="268"/>
      <c r="M114" s="268"/>
      <c r="N114" s="268"/>
      <c r="O114" s="268"/>
      <c r="P114" s="272">
        <v>46226</v>
      </c>
      <c r="Q114" s="273"/>
    </row>
    <row r="115" spans="1:27" ht="33" customHeight="1" x14ac:dyDescent="0.25">
      <c r="A115" s="316"/>
      <c r="B115" s="121" t="s">
        <v>210</v>
      </c>
      <c r="C115" s="192" t="s">
        <v>211</v>
      </c>
      <c r="D115" s="267" t="s">
        <v>194</v>
      </c>
      <c r="E115" s="268"/>
      <c r="F115" s="268"/>
      <c r="G115" s="270" t="s">
        <v>166</v>
      </c>
      <c r="H115" s="270"/>
      <c r="I115" s="271" t="s">
        <v>225</v>
      </c>
      <c r="J115" s="268"/>
      <c r="K115" s="268"/>
      <c r="L115" s="268"/>
      <c r="M115" s="268"/>
      <c r="N115" s="268"/>
      <c r="O115" s="268"/>
      <c r="P115" s="272">
        <v>46226</v>
      </c>
      <c r="Q115" s="273"/>
    </row>
    <row r="116" spans="1:27" ht="33" customHeight="1" x14ac:dyDescent="0.25">
      <c r="A116" s="196"/>
      <c r="B116" s="121" t="s">
        <v>163</v>
      </c>
      <c r="C116" s="192" t="s">
        <v>164</v>
      </c>
      <c r="D116" s="308" t="s">
        <v>194</v>
      </c>
      <c r="E116" s="309"/>
      <c r="F116" s="309"/>
      <c r="G116" s="270" t="s">
        <v>166</v>
      </c>
      <c r="H116" s="270"/>
      <c r="I116" s="271" t="s">
        <v>190</v>
      </c>
      <c r="J116" s="268"/>
      <c r="K116" s="268"/>
      <c r="L116" s="268"/>
      <c r="M116" s="268"/>
      <c r="N116" s="268"/>
      <c r="O116" s="268"/>
      <c r="P116" s="272">
        <v>46226</v>
      </c>
      <c r="Q116" s="273"/>
    </row>
    <row r="117" spans="1:27" ht="33" customHeight="1" x14ac:dyDescent="0.25">
      <c r="A117" s="196"/>
      <c r="B117" s="121" t="s">
        <v>16</v>
      </c>
      <c r="C117" s="192" t="s">
        <v>218</v>
      </c>
      <c r="D117" s="267" t="s">
        <v>194</v>
      </c>
      <c r="E117" s="268"/>
      <c r="F117" s="268"/>
      <c r="G117" s="270" t="s">
        <v>172</v>
      </c>
      <c r="H117" s="270"/>
      <c r="I117" s="271" t="s">
        <v>219</v>
      </c>
      <c r="J117" s="268"/>
      <c r="K117" s="268"/>
      <c r="L117" s="268"/>
      <c r="M117" s="268"/>
      <c r="N117" s="268"/>
      <c r="O117" s="268"/>
      <c r="P117" s="272">
        <v>46226</v>
      </c>
      <c r="Q117" s="273"/>
    </row>
    <row r="118" spans="1:27" ht="33" customHeight="1" x14ac:dyDescent="0.25">
      <c r="A118" s="196"/>
      <c r="B118" s="121" t="s">
        <v>182</v>
      </c>
      <c r="C118" s="192" t="s">
        <v>226</v>
      </c>
      <c r="D118" s="310" t="s">
        <v>227</v>
      </c>
      <c r="E118" s="311"/>
      <c r="F118" s="311"/>
      <c r="G118" s="269" t="s">
        <v>172</v>
      </c>
      <c r="H118" s="270"/>
      <c r="I118" s="289" t="s">
        <v>190</v>
      </c>
      <c r="J118" s="268"/>
      <c r="K118" s="268"/>
      <c r="L118" s="268"/>
      <c r="M118" s="268"/>
      <c r="N118" s="268"/>
      <c r="O118" s="268"/>
      <c r="P118" s="272">
        <v>46226</v>
      </c>
      <c r="Q118" s="273"/>
      <c r="AA118" s="120"/>
    </row>
    <row r="119" spans="1:27" ht="36" customHeight="1" x14ac:dyDescent="0.25">
      <c r="A119" s="196"/>
      <c r="B119" s="121" t="s">
        <v>182</v>
      </c>
      <c r="C119" s="192" t="s">
        <v>220</v>
      </c>
      <c r="D119" s="267" t="s">
        <v>221</v>
      </c>
      <c r="E119" s="268"/>
      <c r="F119" s="268"/>
      <c r="G119" s="269" t="s">
        <v>172</v>
      </c>
      <c r="H119" s="270"/>
      <c r="I119" s="289" t="s">
        <v>222</v>
      </c>
      <c r="J119" s="268"/>
      <c r="K119" s="268"/>
      <c r="L119" s="268"/>
      <c r="M119" s="268"/>
      <c r="N119" s="268"/>
      <c r="O119" s="268"/>
      <c r="P119" s="272">
        <v>46224</v>
      </c>
      <c r="Q119" s="273"/>
      <c r="AA119" s="120"/>
    </row>
    <row r="120" spans="1:27" ht="36" customHeight="1" x14ac:dyDescent="0.25">
      <c r="A120" s="196"/>
      <c r="B120" s="121" t="s">
        <v>101</v>
      </c>
      <c r="C120" s="192" t="s">
        <v>102</v>
      </c>
      <c r="D120" s="267" t="s">
        <v>194</v>
      </c>
      <c r="E120" s="268"/>
      <c r="F120" s="268"/>
      <c r="G120" s="269" t="s">
        <v>103</v>
      </c>
      <c r="H120" s="270"/>
      <c r="I120" s="271" t="s">
        <v>195</v>
      </c>
      <c r="J120" s="268"/>
      <c r="K120" s="268"/>
      <c r="L120" s="268"/>
      <c r="M120" s="268"/>
      <c r="N120" s="268"/>
      <c r="O120" s="268"/>
      <c r="P120" s="272">
        <v>46226</v>
      </c>
      <c r="Q120" s="273"/>
    </row>
    <row r="121" spans="1:27" ht="31.5" customHeight="1" x14ac:dyDescent="0.25">
      <c r="A121" s="196"/>
      <c r="B121" s="121" t="s">
        <v>174</v>
      </c>
      <c r="C121" s="192" t="s">
        <v>228</v>
      </c>
      <c r="D121" s="268"/>
      <c r="E121" s="268"/>
      <c r="F121" s="268"/>
      <c r="G121" s="269" t="s">
        <v>172</v>
      </c>
      <c r="H121" s="270"/>
      <c r="I121" s="271" t="s">
        <v>209</v>
      </c>
      <c r="J121" s="268"/>
      <c r="K121" s="268"/>
      <c r="L121" s="268"/>
      <c r="M121" s="268"/>
      <c r="N121" s="268"/>
      <c r="O121" s="268"/>
      <c r="P121" s="272">
        <v>46226</v>
      </c>
      <c r="Q121" s="273"/>
    </row>
    <row r="122" spans="1:27" ht="31.5" customHeight="1" x14ac:dyDescent="0.25">
      <c r="A122" s="202"/>
      <c r="B122" s="121" t="s">
        <v>169</v>
      </c>
      <c r="C122" s="192" t="s">
        <v>229</v>
      </c>
      <c r="D122" s="267" t="s">
        <v>194</v>
      </c>
      <c r="E122" s="268"/>
      <c r="F122" s="268"/>
      <c r="G122" s="270" t="s">
        <v>172</v>
      </c>
      <c r="H122" s="270"/>
      <c r="I122" s="271" t="s">
        <v>190</v>
      </c>
      <c r="J122" s="268"/>
      <c r="K122" s="268"/>
      <c r="L122" s="268"/>
      <c r="M122" s="268"/>
      <c r="N122" s="268"/>
      <c r="O122" s="268"/>
      <c r="P122" s="272">
        <v>46226</v>
      </c>
      <c r="Q122" s="273"/>
    </row>
  </sheetData>
  <mergeCells count="358">
    <mergeCell ref="D35:F35"/>
    <mergeCell ref="G35:H35"/>
    <mergeCell ref="I35:O35"/>
    <mergeCell ref="P35:Q35"/>
    <mergeCell ref="D36:F36"/>
    <mergeCell ref="G36:H36"/>
    <mergeCell ref="I36:O36"/>
    <mergeCell ref="P36:Q36"/>
    <mergeCell ref="D49:F49"/>
    <mergeCell ref="G49:H49"/>
    <mergeCell ref="I49:O49"/>
    <mergeCell ref="P49:Q49"/>
    <mergeCell ref="D46:F46"/>
    <mergeCell ref="G46:H46"/>
    <mergeCell ref="I46:O46"/>
    <mergeCell ref="P46:Q46"/>
    <mergeCell ref="D41:F41"/>
    <mergeCell ref="G41:H41"/>
    <mergeCell ref="I41:O41"/>
    <mergeCell ref="P41:Q41"/>
    <mergeCell ref="D42:F42"/>
    <mergeCell ref="G42:H42"/>
    <mergeCell ref="I42:O42"/>
    <mergeCell ref="P42:Q42"/>
    <mergeCell ref="D50:F50"/>
    <mergeCell ref="G50:H50"/>
    <mergeCell ref="I50:O50"/>
    <mergeCell ref="P50:Q50"/>
    <mergeCell ref="D47:F47"/>
    <mergeCell ref="G47:H47"/>
    <mergeCell ref="I47:O47"/>
    <mergeCell ref="P47:Q47"/>
    <mergeCell ref="D48:F48"/>
    <mergeCell ref="G48:H48"/>
    <mergeCell ref="I48:O48"/>
    <mergeCell ref="P48:Q48"/>
    <mergeCell ref="D56:F56"/>
    <mergeCell ref="G56:H56"/>
    <mergeCell ref="I56:O56"/>
    <mergeCell ref="P56:Q56"/>
    <mergeCell ref="D63:F63"/>
    <mergeCell ref="G63:H63"/>
    <mergeCell ref="I63:O63"/>
    <mergeCell ref="P63:Q63"/>
    <mergeCell ref="D64:F64"/>
    <mergeCell ref="G64:H64"/>
    <mergeCell ref="I64:O64"/>
    <mergeCell ref="P64:Q64"/>
    <mergeCell ref="D62:F62"/>
    <mergeCell ref="G62:H62"/>
    <mergeCell ref="I62:O62"/>
    <mergeCell ref="P62:Q62"/>
    <mergeCell ref="G57:H57"/>
    <mergeCell ref="D57:F57"/>
    <mergeCell ref="D58:F58"/>
    <mergeCell ref="D59:F59"/>
    <mergeCell ref="I57:O57"/>
    <mergeCell ref="P57:Q57"/>
    <mergeCell ref="G58:H58"/>
    <mergeCell ref="G59:H59"/>
    <mergeCell ref="D69:F69"/>
    <mergeCell ref="G69:H69"/>
    <mergeCell ref="I69:O69"/>
    <mergeCell ref="P69:Q69"/>
    <mergeCell ref="D70:F70"/>
    <mergeCell ref="G70:H70"/>
    <mergeCell ref="I70:O70"/>
    <mergeCell ref="P70:Q70"/>
    <mergeCell ref="D71:F71"/>
    <mergeCell ref="G71:H71"/>
    <mergeCell ref="I71:O71"/>
    <mergeCell ref="P71:Q71"/>
    <mergeCell ref="D65:F65"/>
    <mergeCell ref="G65:H65"/>
    <mergeCell ref="I65:O65"/>
    <mergeCell ref="P65:Q65"/>
    <mergeCell ref="D67:F67"/>
    <mergeCell ref="G67:H67"/>
    <mergeCell ref="I67:O67"/>
    <mergeCell ref="P67:Q67"/>
    <mergeCell ref="D68:F68"/>
    <mergeCell ref="G68:H68"/>
    <mergeCell ref="I68:O68"/>
    <mergeCell ref="P68:Q68"/>
    <mergeCell ref="D66:F66"/>
    <mergeCell ref="G66:H66"/>
    <mergeCell ref="I66:O66"/>
    <mergeCell ref="P66:Q66"/>
    <mergeCell ref="D97:F97"/>
    <mergeCell ref="G97:H97"/>
    <mergeCell ref="I97:O97"/>
    <mergeCell ref="P97:Q97"/>
    <mergeCell ref="G98:H98"/>
    <mergeCell ref="G34:H34"/>
    <mergeCell ref="I98:O98"/>
    <mergeCell ref="I34:O34"/>
    <mergeCell ref="A114:A115"/>
    <mergeCell ref="A104:A105"/>
    <mergeCell ref="D98:F98"/>
    <mergeCell ref="D34:F34"/>
    <mergeCell ref="D107:F107"/>
    <mergeCell ref="D108:F108"/>
    <mergeCell ref="D109:F109"/>
    <mergeCell ref="P107:Q107"/>
    <mergeCell ref="P108:Q108"/>
    <mergeCell ref="P109:Q109"/>
    <mergeCell ref="P100:Q100"/>
    <mergeCell ref="P101:Q101"/>
    <mergeCell ref="P102:Q102"/>
    <mergeCell ref="P103:Q103"/>
    <mergeCell ref="P104:Q104"/>
    <mergeCell ref="P34:Q34"/>
    <mergeCell ref="P122:Q122"/>
    <mergeCell ref="D100:F100"/>
    <mergeCell ref="G100:H100"/>
    <mergeCell ref="I100:O100"/>
    <mergeCell ref="I101:O101"/>
    <mergeCell ref="I102:O102"/>
    <mergeCell ref="I103:O103"/>
    <mergeCell ref="I104:O104"/>
    <mergeCell ref="I105:O105"/>
    <mergeCell ref="I106:O106"/>
    <mergeCell ref="I107:O107"/>
    <mergeCell ref="I108:O108"/>
    <mergeCell ref="I109:O109"/>
    <mergeCell ref="I110:O110"/>
    <mergeCell ref="P115:Q115"/>
    <mergeCell ref="P116:Q116"/>
    <mergeCell ref="P117:Q117"/>
    <mergeCell ref="P118:Q118"/>
    <mergeCell ref="P119:Q119"/>
    <mergeCell ref="P110:Q110"/>
    <mergeCell ref="P111:Q111"/>
    <mergeCell ref="P112:Q112"/>
    <mergeCell ref="P113:Q113"/>
    <mergeCell ref="P114:Q114"/>
    <mergeCell ref="I119:O119"/>
    <mergeCell ref="I120:O120"/>
    <mergeCell ref="I111:O111"/>
    <mergeCell ref="I112:O112"/>
    <mergeCell ref="I113:O113"/>
    <mergeCell ref="I114:O114"/>
    <mergeCell ref="I115:O115"/>
    <mergeCell ref="P120:Q120"/>
    <mergeCell ref="I118:O118"/>
    <mergeCell ref="P121:Q121"/>
    <mergeCell ref="G110:H110"/>
    <mergeCell ref="G111:H111"/>
    <mergeCell ref="G112:H112"/>
    <mergeCell ref="G113:H113"/>
    <mergeCell ref="G114:H114"/>
    <mergeCell ref="I121:O121"/>
    <mergeCell ref="I122:O122"/>
    <mergeCell ref="D101:F101"/>
    <mergeCell ref="D102:F102"/>
    <mergeCell ref="D103:F103"/>
    <mergeCell ref="D104:F104"/>
    <mergeCell ref="D105:F105"/>
    <mergeCell ref="G101:H101"/>
    <mergeCell ref="G102:H102"/>
    <mergeCell ref="G103:H103"/>
    <mergeCell ref="G104:H104"/>
    <mergeCell ref="G105:H105"/>
    <mergeCell ref="G106:H106"/>
    <mergeCell ref="G107:H107"/>
    <mergeCell ref="G108:H108"/>
    <mergeCell ref="G109:H109"/>
    <mergeCell ref="I116:O116"/>
    <mergeCell ref="I117:O117"/>
    <mergeCell ref="D119:F119"/>
    <mergeCell ref="G120:H120"/>
    <mergeCell ref="G121:H121"/>
    <mergeCell ref="G122:H122"/>
    <mergeCell ref="D120:F120"/>
    <mergeCell ref="D121:F121"/>
    <mergeCell ref="D122:F122"/>
    <mergeCell ref="G115:H115"/>
    <mergeCell ref="G116:H116"/>
    <mergeCell ref="G117:H117"/>
    <mergeCell ref="G118:H118"/>
    <mergeCell ref="G119:H119"/>
    <mergeCell ref="D110:F110"/>
    <mergeCell ref="D111:F111"/>
    <mergeCell ref="D112:F112"/>
    <mergeCell ref="D113:F113"/>
    <mergeCell ref="D114:F114"/>
    <mergeCell ref="D115:F115"/>
    <mergeCell ref="D116:F116"/>
    <mergeCell ref="D117:F117"/>
    <mergeCell ref="D118:F118"/>
    <mergeCell ref="D106:F106"/>
    <mergeCell ref="D93:F93"/>
    <mergeCell ref="G93:H93"/>
    <mergeCell ref="I93:O93"/>
    <mergeCell ref="P93:Q93"/>
    <mergeCell ref="D94:F94"/>
    <mergeCell ref="G94:H94"/>
    <mergeCell ref="I94:O94"/>
    <mergeCell ref="P94:Q94"/>
    <mergeCell ref="D95:F95"/>
    <mergeCell ref="G95:H95"/>
    <mergeCell ref="I95:O95"/>
    <mergeCell ref="P105:Q105"/>
    <mergeCell ref="P106:Q106"/>
    <mergeCell ref="D99:F99"/>
    <mergeCell ref="G99:H99"/>
    <mergeCell ref="I99:O99"/>
    <mergeCell ref="D96:F96"/>
    <mergeCell ref="G96:H96"/>
    <mergeCell ref="I96:O96"/>
    <mergeCell ref="P98:Q98"/>
    <mergeCell ref="P99:Q99"/>
    <mergeCell ref="P95:Q95"/>
    <mergeCell ref="P96:Q96"/>
    <mergeCell ref="D92:F92"/>
    <mergeCell ref="G92:H92"/>
    <mergeCell ref="I92:O92"/>
    <mergeCell ref="P92:Q92"/>
    <mergeCell ref="D90:F90"/>
    <mergeCell ref="G90:H90"/>
    <mergeCell ref="I90:O90"/>
    <mergeCell ref="P90:Q90"/>
    <mergeCell ref="D83:F83"/>
    <mergeCell ref="G83:H83"/>
    <mergeCell ref="I83:O83"/>
    <mergeCell ref="P83:Q83"/>
    <mergeCell ref="D88:F88"/>
    <mergeCell ref="G88:H88"/>
    <mergeCell ref="I88:O88"/>
    <mergeCell ref="P88:Q88"/>
    <mergeCell ref="D89:F89"/>
    <mergeCell ref="G89:H89"/>
    <mergeCell ref="I89:O89"/>
    <mergeCell ref="P89:Q89"/>
    <mergeCell ref="D84:F84"/>
    <mergeCell ref="G84:H84"/>
    <mergeCell ref="I84:O84"/>
    <mergeCell ref="P84:Q84"/>
    <mergeCell ref="D78:F78"/>
    <mergeCell ref="G78:H78"/>
    <mergeCell ref="I78:O78"/>
    <mergeCell ref="P78:Q78"/>
    <mergeCell ref="D87:F87"/>
    <mergeCell ref="G87:H87"/>
    <mergeCell ref="I87:O87"/>
    <mergeCell ref="P87:Q87"/>
    <mergeCell ref="D91:F91"/>
    <mergeCell ref="G91:H91"/>
    <mergeCell ref="I91:O91"/>
    <mergeCell ref="P91:Q91"/>
    <mergeCell ref="D85:F85"/>
    <mergeCell ref="G85:H85"/>
    <mergeCell ref="I85:O85"/>
    <mergeCell ref="P85:Q85"/>
    <mergeCell ref="D86:F86"/>
    <mergeCell ref="G86:H86"/>
    <mergeCell ref="I86:O86"/>
    <mergeCell ref="P86:Q86"/>
    <mergeCell ref="D81:F81"/>
    <mergeCell ref="G81:H81"/>
    <mergeCell ref="I81:O81"/>
    <mergeCell ref="P81:Q81"/>
    <mergeCell ref="D82:F82"/>
    <mergeCell ref="G82:H82"/>
    <mergeCell ref="I82:O82"/>
    <mergeCell ref="P82:Q82"/>
    <mergeCell ref="D79:F79"/>
    <mergeCell ref="G79:H79"/>
    <mergeCell ref="I79:O79"/>
    <mergeCell ref="P79:Q79"/>
    <mergeCell ref="D80:F80"/>
    <mergeCell ref="G80:H80"/>
    <mergeCell ref="I80:O80"/>
    <mergeCell ref="P80:Q80"/>
    <mergeCell ref="D77:F77"/>
    <mergeCell ref="G77:H77"/>
    <mergeCell ref="I77:O77"/>
    <mergeCell ref="P77:Q77"/>
    <mergeCell ref="D72:F72"/>
    <mergeCell ref="G72:H72"/>
    <mergeCell ref="I72:O72"/>
    <mergeCell ref="P72:Q72"/>
    <mergeCell ref="D73:F73"/>
    <mergeCell ref="I73:O73"/>
    <mergeCell ref="G73:H73"/>
    <mergeCell ref="P73:Q73"/>
    <mergeCell ref="D74:F74"/>
    <mergeCell ref="G74:H74"/>
    <mergeCell ref="I74:O74"/>
    <mergeCell ref="P74:Q74"/>
    <mergeCell ref="D75:F75"/>
    <mergeCell ref="G75:H75"/>
    <mergeCell ref="I75:O75"/>
    <mergeCell ref="P75:Q75"/>
    <mergeCell ref="D76:F76"/>
    <mergeCell ref="G76:H76"/>
    <mergeCell ref="I76:O76"/>
    <mergeCell ref="P76:Q76"/>
    <mergeCell ref="G60:H60"/>
    <mergeCell ref="G61:H61"/>
    <mergeCell ref="I58:O58"/>
    <mergeCell ref="P58:Q58"/>
    <mergeCell ref="P59:Q59"/>
    <mergeCell ref="P60:Q60"/>
    <mergeCell ref="P61:Q61"/>
    <mergeCell ref="D61:F61"/>
    <mergeCell ref="D60:F60"/>
    <mergeCell ref="I60:O60"/>
    <mergeCell ref="I59:O59"/>
    <mergeCell ref="I61:O61"/>
    <mergeCell ref="D54:F54"/>
    <mergeCell ref="G54:H54"/>
    <mergeCell ref="I54:O54"/>
    <mergeCell ref="P54:Q54"/>
    <mergeCell ref="D55:F55"/>
    <mergeCell ref="G55:H55"/>
    <mergeCell ref="I55:O55"/>
    <mergeCell ref="P55:Q55"/>
    <mergeCell ref="D51:F51"/>
    <mergeCell ref="G51:H51"/>
    <mergeCell ref="I51:O51"/>
    <mergeCell ref="P51:Q51"/>
    <mergeCell ref="D52:F52"/>
    <mergeCell ref="G52:H52"/>
    <mergeCell ref="I52:O52"/>
    <mergeCell ref="P52:Q52"/>
    <mergeCell ref="D53:F53"/>
    <mergeCell ref="G53:H53"/>
    <mergeCell ref="I53:O53"/>
    <mergeCell ref="P53:Q53"/>
    <mergeCell ref="D43:F43"/>
    <mergeCell ref="G43:H43"/>
    <mergeCell ref="I43:O43"/>
    <mergeCell ref="P43:Q43"/>
    <mergeCell ref="D44:F44"/>
    <mergeCell ref="G44:H44"/>
    <mergeCell ref="I44:O44"/>
    <mergeCell ref="P44:Q44"/>
    <mergeCell ref="D45:F45"/>
    <mergeCell ref="G45:H45"/>
    <mergeCell ref="I45:O45"/>
    <mergeCell ref="P45:Q45"/>
    <mergeCell ref="D40:F40"/>
    <mergeCell ref="G40:H40"/>
    <mergeCell ref="I40:O40"/>
    <mergeCell ref="P40:Q40"/>
    <mergeCell ref="D37:F37"/>
    <mergeCell ref="G37:H37"/>
    <mergeCell ref="I37:O37"/>
    <mergeCell ref="P37:Q37"/>
    <mergeCell ref="D38:F38"/>
    <mergeCell ref="G38:H38"/>
    <mergeCell ref="I38:O38"/>
    <mergeCell ref="P38:Q38"/>
    <mergeCell ref="D39:F39"/>
    <mergeCell ref="G39:H39"/>
    <mergeCell ref="I39:O39"/>
    <mergeCell ref="P39:Q39"/>
  </mergeCells>
  <conditionalFormatting sqref="G4:G6">
    <cfRule type="cellIs" dxfId="249" priority="48" operator="greaterThan">
      <formula>$D4</formula>
    </cfRule>
    <cfRule type="cellIs" dxfId="248" priority="47" operator="lessThan">
      <formula>$D4</formula>
    </cfRule>
  </conditionalFormatting>
  <conditionalFormatting sqref="G8">
    <cfRule type="cellIs" dxfId="247" priority="50" operator="greaterThan">
      <formula>$D8</formula>
    </cfRule>
    <cfRule type="cellIs" dxfId="246" priority="49" operator="lessThan">
      <formula>$D8</formula>
    </cfRule>
  </conditionalFormatting>
  <conditionalFormatting sqref="G10:G11">
    <cfRule type="cellIs" dxfId="245" priority="45" operator="lessThan">
      <formula>$D10</formula>
    </cfRule>
    <cfRule type="cellIs" dxfId="244" priority="46" operator="greaterThan">
      <formula>$D10</formula>
    </cfRule>
  </conditionalFormatting>
  <conditionalFormatting sqref="G13:G22">
    <cfRule type="cellIs" dxfId="243" priority="44" operator="greaterThan">
      <formula>$D13</formula>
    </cfRule>
    <cfRule type="cellIs" dxfId="242" priority="43" operator="lessThan">
      <formula>$D13</formula>
    </cfRule>
  </conditionalFormatting>
  <conditionalFormatting sqref="J4:J6">
    <cfRule type="cellIs" dxfId="241" priority="56" operator="greaterThan">
      <formula>$D4</formula>
    </cfRule>
    <cfRule type="cellIs" dxfId="240" priority="55" operator="lessThan">
      <formula>$D4</formula>
    </cfRule>
  </conditionalFormatting>
  <conditionalFormatting sqref="J8">
    <cfRule type="cellIs" dxfId="239" priority="57" operator="lessThan">
      <formula>$D8</formula>
    </cfRule>
    <cfRule type="cellIs" dxfId="238" priority="58" operator="greaterThan">
      <formula>$D8</formula>
    </cfRule>
  </conditionalFormatting>
  <conditionalFormatting sqref="J10:J11">
    <cfRule type="cellIs" dxfId="237" priority="53" operator="lessThan">
      <formula>$D10</formula>
    </cfRule>
    <cfRule type="cellIs" dxfId="236" priority="54" operator="greaterThan">
      <formula>$D10</formula>
    </cfRule>
  </conditionalFormatting>
  <conditionalFormatting sqref="J13:J22">
    <cfRule type="cellIs" dxfId="235" priority="51" operator="lessThan">
      <formula>$D13</formula>
    </cfRule>
    <cfRule type="cellIs" dxfId="234" priority="52" operator="greaterThan">
      <formula>$D13</formula>
    </cfRule>
  </conditionalFormatting>
  <conditionalFormatting sqref="M4:M6 P4:P6">
    <cfRule type="cellIs" dxfId="233" priority="40" operator="greaterThan">
      <formula>$D4</formula>
    </cfRule>
    <cfRule type="cellIs" dxfId="232" priority="39" operator="lessThan">
      <formula>$D4</formula>
    </cfRule>
  </conditionalFormatting>
  <conditionalFormatting sqref="M8 P8">
    <cfRule type="cellIs" dxfId="231" priority="42" operator="greaterThan">
      <formula>$D8</formula>
    </cfRule>
    <cfRule type="cellIs" dxfId="230" priority="41" operator="lessThan">
      <formula>$D8</formula>
    </cfRule>
  </conditionalFormatting>
  <conditionalFormatting sqref="M10:M11 P10:P11">
    <cfRule type="cellIs" dxfId="229" priority="38" operator="greaterThan">
      <formula>$D10</formula>
    </cfRule>
    <cfRule type="cellIs" dxfId="228" priority="37" operator="lessThan">
      <formula>$D10</formula>
    </cfRule>
  </conditionalFormatting>
  <conditionalFormatting sqref="M13:M22 P13:P22">
    <cfRule type="cellIs" dxfId="227" priority="36" operator="greaterThan">
      <formula>$D13</formula>
    </cfRule>
    <cfRule type="cellIs" dxfId="226" priority="35" operator="lessThan">
      <formula>$D13</formula>
    </cfRule>
  </conditionalFormatting>
  <conditionalFormatting sqref="M26">
    <cfRule type="cellIs" dxfId="225" priority="33" operator="lessThan">
      <formula>$D26</formula>
    </cfRule>
    <cfRule type="cellIs" dxfId="224" priority="34" operator="greaterThan">
      <formula>$D26</formula>
    </cfRule>
  </conditionalFormatting>
  <conditionalFormatting sqref="S4:S6">
    <cfRule type="cellIs" dxfId="223" priority="64" operator="greaterThan">
      <formula>$D4</formula>
    </cfRule>
    <cfRule type="cellIs" dxfId="222" priority="63" operator="lessThan">
      <formula>$D4</formula>
    </cfRule>
  </conditionalFormatting>
  <conditionalFormatting sqref="S8">
    <cfRule type="cellIs" dxfId="221" priority="65" operator="lessThan">
      <formula>$D8</formula>
    </cfRule>
    <cfRule type="cellIs" dxfId="220" priority="66" operator="greaterThan">
      <formula>$D8</formula>
    </cfRule>
  </conditionalFormatting>
  <conditionalFormatting sqref="S10:S11">
    <cfRule type="cellIs" dxfId="219" priority="61" operator="lessThan">
      <formula>$D10</formula>
    </cfRule>
    <cfRule type="cellIs" dxfId="218" priority="62" operator="greaterThan">
      <formula>$D10</formula>
    </cfRule>
  </conditionalFormatting>
  <conditionalFormatting sqref="S13:S22">
    <cfRule type="cellIs" dxfId="217" priority="60" operator="greaterThan">
      <formula>$D13</formula>
    </cfRule>
    <cfRule type="cellIs" dxfId="216" priority="59" operator="lessThan">
      <formula>$D13</formula>
    </cfRule>
  </conditionalFormatting>
  <conditionalFormatting sqref="V4:V6">
    <cfRule type="cellIs" dxfId="215" priority="71" operator="lessThan">
      <formula>$D4</formula>
    </cfRule>
    <cfRule type="cellIs" dxfId="214" priority="72" operator="greaterThan">
      <formula>$D4</formula>
    </cfRule>
  </conditionalFormatting>
  <conditionalFormatting sqref="V8">
    <cfRule type="cellIs" dxfId="213" priority="73" operator="lessThan">
      <formula>$D8</formula>
    </cfRule>
    <cfRule type="cellIs" dxfId="212" priority="74" operator="greaterThan">
      <formula>$D8</formula>
    </cfRule>
  </conditionalFormatting>
  <conditionalFormatting sqref="V10:V11">
    <cfRule type="cellIs" dxfId="211" priority="69" operator="lessThan">
      <formula>$D10</formula>
    </cfRule>
    <cfRule type="cellIs" dxfId="210" priority="70" operator="greaterThan">
      <formula>$D10</formula>
    </cfRule>
  </conditionalFormatting>
  <conditionalFormatting sqref="V13:V22">
    <cfRule type="cellIs" dxfId="209" priority="67" operator="lessThan">
      <formula>$D13</formula>
    </cfRule>
    <cfRule type="cellIs" dxfId="208" priority="68" operator="greaterThan">
      <formula>$D13</formula>
    </cfRule>
  </conditionalFormatting>
  <conditionalFormatting sqref="Y4:Y6">
    <cfRule type="cellIs" dxfId="207" priority="79" operator="lessThan">
      <formula>$D4</formula>
    </cfRule>
    <cfRule type="cellIs" dxfId="206" priority="80" operator="greaterThan">
      <formula>$D4</formula>
    </cfRule>
  </conditionalFormatting>
  <conditionalFormatting sqref="Y8">
    <cfRule type="cellIs" dxfId="205" priority="82" operator="greaterThan">
      <formula>$D8</formula>
    </cfRule>
    <cfRule type="cellIs" dxfId="204" priority="81" operator="lessThan">
      <formula>$D8</formula>
    </cfRule>
  </conditionalFormatting>
  <conditionalFormatting sqref="Y10:Y11">
    <cfRule type="cellIs" dxfId="203" priority="78" operator="greaterThan">
      <formula>$D10</formula>
    </cfRule>
    <cfRule type="cellIs" dxfId="202" priority="77" operator="lessThan">
      <formula>$D10</formula>
    </cfRule>
  </conditionalFormatting>
  <conditionalFormatting sqref="Y13:Y22">
    <cfRule type="cellIs" dxfId="201" priority="75" operator="lessThan">
      <formula>$D13</formula>
    </cfRule>
    <cfRule type="cellIs" dxfId="200" priority="76" operator="greaterThan">
      <formula>$D13</formula>
    </cfRule>
  </conditionalFormatting>
  <conditionalFormatting sqref="AB4:AB6">
    <cfRule type="cellIs" dxfId="199" priority="87" operator="lessThan">
      <formula>$D4</formula>
    </cfRule>
    <cfRule type="cellIs" dxfId="198" priority="88" operator="greaterThan">
      <formula>$D4</formula>
    </cfRule>
  </conditionalFormatting>
  <conditionalFormatting sqref="AB8">
    <cfRule type="cellIs" dxfId="197" priority="90" operator="greaterThan">
      <formula>$D8</formula>
    </cfRule>
    <cfRule type="cellIs" dxfId="196" priority="89" operator="lessThan">
      <formula>$D8</formula>
    </cfRule>
  </conditionalFormatting>
  <conditionalFormatting sqref="AB10:AB11">
    <cfRule type="cellIs" dxfId="195" priority="85" operator="lessThan">
      <formula>$D10</formula>
    </cfRule>
    <cfRule type="cellIs" dxfId="194" priority="86" operator="greaterThan">
      <formula>$D10</formula>
    </cfRule>
  </conditionalFormatting>
  <conditionalFormatting sqref="AB13:AB22">
    <cfRule type="cellIs" dxfId="193" priority="84" operator="greaterThan">
      <formula>$D13</formula>
    </cfRule>
    <cfRule type="cellIs" dxfId="192" priority="83" operator="lessThan">
      <formula>$D13</formula>
    </cfRule>
  </conditionalFormatting>
  <conditionalFormatting sqref="AE4:AE6">
    <cfRule type="cellIs" dxfId="191" priority="95" operator="lessThan">
      <formula>$D4</formula>
    </cfRule>
    <cfRule type="cellIs" dxfId="190" priority="96" operator="greaterThan">
      <formula>$D4</formula>
    </cfRule>
  </conditionalFormatting>
  <conditionalFormatting sqref="AE8">
    <cfRule type="cellIs" dxfId="189" priority="98" operator="greaterThan">
      <formula>$D8</formula>
    </cfRule>
    <cfRule type="cellIs" dxfId="188" priority="97" operator="lessThan">
      <formula>$D8</formula>
    </cfRule>
  </conditionalFormatting>
  <conditionalFormatting sqref="AE10:AE11">
    <cfRule type="cellIs" dxfId="187" priority="94" operator="greaterThan">
      <formula>$D10</formula>
    </cfRule>
    <cfRule type="cellIs" dxfId="186" priority="93" operator="lessThan">
      <formula>$D10</formula>
    </cfRule>
  </conditionalFormatting>
  <conditionalFormatting sqref="AE13:AE22">
    <cfRule type="cellIs" dxfId="185" priority="92" operator="greaterThan">
      <formula>$D13</formula>
    </cfRule>
    <cfRule type="cellIs" dxfId="184" priority="91" operator="lessThan">
      <formula>$D13</formula>
    </cfRule>
  </conditionalFormatting>
  <conditionalFormatting sqref="AH4:AH6">
    <cfRule type="cellIs" dxfId="183" priority="30" operator="greaterThan">
      <formula>$D4</formula>
    </cfRule>
    <cfRule type="cellIs" dxfId="182" priority="29" operator="lessThan">
      <formula>$D4</formula>
    </cfRule>
  </conditionalFormatting>
  <conditionalFormatting sqref="AH8">
    <cfRule type="cellIs" dxfId="181" priority="31" operator="lessThan">
      <formula>$D8</formula>
    </cfRule>
    <cfRule type="cellIs" dxfId="180" priority="32" operator="greaterThan">
      <formula>$D8</formula>
    </cfRule>
  </conditionalFormatting>
  <conditionalFormatting sqref="AH10:AH11">
    <cfRule type="cellIs" dxfId="179" priority="28" operator="greaterThan">
      <formula>$D10</formula>
    </cfRule>
    <cfRule type="cellIs" dxfId="178" priority="27" operator="lessThan">
      <formula>$D10</formula>
    </cfRule>
  </conditionalFormatting>
  <conditionalFormatting sqref="AH13:AH22">
    <cfRule type="cellIs" dxfId="177" priority="26" operator="greaterThan">
      <formula>$D13</formula>
    </cfRule>
    <cfRule type="cellIs" dxfId="176" priority="25" operator="lessThan">
      <formula>$D13</formula>
    </cfRule>
  </conditionalFormatting>
  <conditionalFormatting sqref="AK4:AK6">
    <cfRule type="cellIs" dxfId="175" priority="22" operator="greaterThan">
      <formula>$D4</formula>
    </cfRule>
    <cfRule type="cellIs" dxfId="174" priority="21" operator="lessThan">
      <formula>$D4</formula>
    </cfRule>
  </conditionalFormatting>
  <conditionalFormatting sqref="AK8">
    <cfRule type="cellIs" dxfId="173" priority="24" operator="greaterThan">
      <formula>$D8</formula>
    </cfRule>
    <cfRule type="cellIs" dxfId="172" priority="23" operator="lessThan">
      <formula>$D8</formula>
    </cfRule>
  </conditionalFormatting>
  <conditionalFormatting sqref="AK10:AK11">
    <cfRule type="cellIs" dxfId="171" priority="19" operator="lessThan">
      <formula>$D10</formula>
    </cfRule>
    <cfRule type="cellIs" dxfId="170" priority="20" operator="greaterThan">
      <formula>$D10</formula>
    </cfRule>
  </conditionalFormatting>
  <conditionalFormatting sqref="AK13:AK22">
    <cfRule type="cellIs" dxfId="169" priority="17" operator="lessThan">
      <formula>$D13</formula>
    </cfRule>
    <cfRule type="cellIs" dxfId="168" priority="18" operator="greaterThan">
      <formula>$D13</formula>
    </cfRule>
  </conditionalFormatting>
  <conditionalFormatting sqref="AN4:AN6">
    <cfRule type="cellIs" dxfId="167" priority="104" operator="greaterThan">
      <formula>$D4</formula>
    </cfRule>
    <cfRule type="cellIs" dxfId="166" priority="103" operator="lessThan">
      <formula>$D4</formula>
    </cfRule>
  </conditionalFormatting>
  <conditionalFormatting sqref="AN8">
    <cfRule type="cellIs" dxfId="165" priority="106" operator="greaterThan">
      <formula>$D8</formula>
    </cfRule>
    <cfRule type="cellIs" dxfId="164" priority="105" operator="lessThan">
      <formula>$D8</formula>
    </cfRule>
  </conditionalFormatting>
  <conditionalFormatting sqref="AN10:AN11">
    <cfRule type="cellIs" dxfId="163" priority="101" operator="lessThan">
      <formula>$D10</formula>
    </cfRule>
    <cfRule type="cellIs" dxfId="162" priority="102" operator="greaterThan">
      <formula>$D10</formula>
    </cfRule>
  </conditionalFormatting>
  <conditionalFormatting sqref="AN13:AN22">
    <cfRule type="cellIs" dxfId="161" priority="99" operator="lessThan">
      <formula>$D13</formula>
    </cfRule>
    <cfRule type="cellIs" dxfId="160" priority="100" operator="greaterThan">
      <formula>$D13</formula>
    </cfRule>
  </conditionalFormatting>
  <conditionalFormatting sqref="AQ4:AQ6">
    <cfRule type="cellIs" dxfId="159" priority="111" operator="lessThan">
      <formula>$D4</formula>
    </cfRule>
    <cfRule type="cellIs" dxfId="158" priority="112" operator="greaterThan">
      <formula>$D4</formula>
    </cfRule>
  </conditionalFormatting>
  <conditionalFormatting sqref="AQ8">
    <cfRule type="cellIs" dxfId="157" priority="114" operator="greaterThan">
      <formula>$D8</formula>
    </cfRule>
    <cfRule type="cellIs" dxfId="156" priority="113" operator="lessThan">
      <formula>$D8</formula>
    </cfRule>
  </conditionalFormatting>
  <conditionalFormatting sqref="AQ10:AQ11">
    <cfRule type="cellIs" dxfId="155" priority="109" operator="lessThan">
      <formula>$D10</formula>
    </cfRule>
    <cfRule type="cellIs" dxfId="154" priority="110" operator="greaterThan">
      <formula>$D10</formula>
    </cfRule>
  </conditionalFormatting>
  <conditionalFormatting sqref="AQ13:AQ22">
    <cfRule type="cellIs" dxfId="153" priority="108" operator="greaterThan">
      <formula>$D13</formula>
    </cfRule>
    <cfRule type="cellIs" dxfId="152" priority="107" operator="lessThan">
      <formula>$D13</formula>
    </cfRule>
  </conditionalFormatting>
  <conditionalFormatting sqref="AT4:AT6">
    <cfRule type="cellIs" dxfId="151" priority="128" operator="greaterThan">
      <formula>$D4</formula>
    </cfRule>
    <cfRule type="cellIs" dxfId="150" priority="127" operator="lessThan">
      <formula>$D4</formula>
    </cfRule>
  </conditionalFormatting>
  <conditionalFormatting sqref="AT8">
    <cfRule type="cellIs" dxfId="149" priority="130" operator="greaterThan">
      <formula>$D8</formula>
    </cfRule>
    <cfRule type="cellIs" dxfId="148" priority="129" operator="lessThan">
      <formula>$D8</formula>
    </cfRule>
  </conditionalFormatting>
  <conditionalFormatting sqref="AT10:AT11">
    <cfRule type="cellIs" dxfId="147" priority="125" operator="lessThan">
      <formula>$D10</formula>
    </cfRule>
    <cfRule type="cellIs" dxfId="146" priority="126" operator="greaterThan">
      <formula>$D10</formula>
    </cfRule>
  </conditionalFormatting>
  <conditionalFormatting sqref="AT13:AT22">
    <cfRule type="cellIs" dxfId="145" priority="123" operator="lessThan">
      <formula>$D13</formula>
    </cfRule>
    <cfRule type="cellIs" dxfId="144" priority="124" operator="greaterThan">
      <formula>$D13</formula>
    </cfRule>
  </conditionalFormatting>
  <conditionalFormatting sqref="AW4:AW6">
    <cfRule type="cellIs" dxfId="143" priority="120" operator="greaterThan">
      <formula>$D4</formula>
    </cfRule>
    <cfRule type="cellIs" dxfId="142" priority="119" operator="lessThan">
      <formula>$D4</formula>
    </cfRule>
  </conditionalFormatting>
  <conditionalFormatting sqref="AW8">
    <cfRule type="cellIs" dxfId="141" priority="121" operator="lessThan">
      <formula>$D8</formula>
    </cfRule>
    <cfRule type="cellIs" dxfId="140" priority="122" operator="greaterThan">
      <formula>$D8</formula>
    </cfRule>
  </conditionalFormatting>
  <conditionalFormatting sqref="AW10:AW11">
    <cfRule type="cellIs" dxfId="139" priority="117" operator="lessThan">
      <formula>$D10</formula>
    </cfRule>
    <cfRule type="cellIs" dxfId="138" priority="118" operator="greaterThan">
      <formula>$D10</formula>
    </cfRule>
  </conditionalFormatting>
  <conditionalFormatting sqref="AW13:AW22">
    <cfRule type="cellIs" dxfId="137" priority="115" operator="lessThan">
      <formula>$D13</formula>
    </cfRule>
    <cfRule type="cellIs" dxfId="136" priority="116" operator="greaterThan">
      <formula>$D13</formula>
    </cfRule>
  </conditionalFormatting>
  <conditionalFormatting sqref="AZ4:AZ6">
    <cfRule type="cellIs" dxfId="135" priority="264" operator="greaterThan">
      <formula>$D4</formula>
    </cfRule>
    <cfRule type="cellIs" dxfId="134" priority="263" operator="lessThan">
      <formula>$D4</formula>
    </cfRule>
  </conditionalFormatting>
  <conditionalFormatting sqref="AZ8">
    <cfRule type="cellIs" dxfId="133" priority="265" operator="lessThan">
      <formula>$D8</formula>
    </cfRule>
    <cfRule type="cellIs" dxfId="132" priority="266" operator="greaterThan">
      <formula>$D8</formula>
    </cfRule>
  </conditionalFormatting>
  <conditionalFormatting sqref="AZ10:AZ11">
    <cfRule type="cellIs" dxfId="131" priority="261" operator="lessThan">
      <formula>$D10</formula>
    </cfRule>
    <cfRule type="cellIs" dxfId="130" priority="262" operator="greaterThan">
      <formula>$D10</formula>
    </cfRule>
  </conditionalFormatting>
  <conditionalFormatting sqref="AZ13:AZ22">
    <cfRule type="cellIs" dxfId="129" priority="259" operator="lessThan">
      <formula>$D13</formula>
    </cfRule>
    <cfRule type="cellIs" dxfId="128" priority="260" operator="greaterThan">
      <formula>$D13</formula>
    </cfRule>
  </conditionalFormatting>
  <conditionalFormatting sqref="BC4:BC6">
    <cfRule type="cellIs" dxfId="127" priority="13" operator="lessThan">
      <formula>$D4</formula>
    </cfRule>
    <cfRule type="cellIs" dxfId="126" priority="14" operator="greaterThan">
      <formula>$D4</formula>
    </cfRule>
  </conditionalFormatting>
  <conditionalFormatting sqref="BC8">
    <cfRule type="cellIs" dxfId="125" priority="16" operator="greaterThan">
      <formula>$D8</formula>
    </cfRule>
    <cfRule type="cellIs" dxfId="124" priority="15" operator="lessThan">
      <formula>$D8</formula>
    </cfRule>
  </conditionalFormatting>
  <conditionalFormatting sqref="BC10:BC11">
    <cfRule type="cellIs" dxfId="123" priority="12" operator="greaterThan">
      <formula>$D10</formula>
    </cfRule>
    <cfRule type="cellIs" dxfId="122" priority="11" operator="lessThan">
      <formula>$D10</formula>
    </cfRule>
  </conditionalFormatting>
  <conditionalFormatting sqref="BC13:BC22">
    <cfRule type="cellIs" dxfId="121" priority="10" operator="greaterThan">
      <formula>$D13</formula>
    </cfRule>
    <cfRule type="cellIs" dxfId="120" priority="9" operator="lessThan">
      <formula>$D13</formula>
    </cfRule>
  </conditionalFormatting>
  <conditionalFormatting sqref="BF4:BF6">
    <cfRule type="cellIs" dxfId="119" priority="6" operator="greaterThan">
      <formula>$D4</formula>
    </cfRule>
    <cfRule type="cellIs" dxfId="118" priority="5" operator="lessThan">
      <formula>$D4</formula>
    </cfRule>
  </conditionalFormatting>
  <conditionalFormatting sqref="BF8">
    <cfRule type="cellIs" dxfId="117" priority="8" operator="greaterThan">
      <formula>$D8</formula>
    </cfRule>
    <cfRule type="cellIs" dxfId="116" priority="7" operator="lessThan">
      <formula>$D8</formula>
    </cfRule>
  </conditionalFormatting>
  <conditionalFormatting sqref="BF10:BF11">
    <cfRule type="cellIs" dxfId="115" priority="3" operator="lessThan">
      <formula>$D10</formula>
    </cfRule>
    <cfRule type="cellIs" dxfId="114" priority="4" operator="greaterThan">
      <formula>$D10</formula>
    </cfRule>
  </conditionalFormatting>
  <conditionalFormatting sqref="BF13:BF22">
    <cfRule type="cellIs" dxfId="113" priority="1" operator="lessThan">
      <formula>$D13</formula>
    </cfRule>
    <cfRule type="cellIs" dxfId="112" priority="2" operator="greaterThan">
      <formula>$D13</formula>
    </cfRule>
  </conditionalFormatting>
  <conditionalFormatting sqref="BI4:BI6">
    <cfRule type="cellIs" dxfId="111" priority="231" operator="lessThan">
      <formula>$D4</formula>
    </cfRule>
    <cfRule type="cellIs" dxfId="110" priority="232" operator="greaterThan">
      <formula>$D4</formula>
    </cfRule>
  </conditionalFormatting>
  <conditionalFormatting sqref="BI8">
    <cfRule type="cellIs" dxfId="109" priority="233" operator="lessThan">
      <formula>$D8</formula>
    </cfRule>
    <cfRule type="cellIs" dxfId="108" priority="234" operator="greaterThan">
      <formula>$D8</formula>
    </cfRule>
  </conditionalFormatting>
  <conditionalFormatting sqref="BI10:BI11">
    <cfRule type="cellIs" dxfId="107" priority="229" operator="lessThan">
      <formula>$D10</formula>
    </cfRule>
    <cfRule type="cellIs" dxfId="106" priority="230" operator="greaterThan">
      <formula>$D10</formula>
    </cfRule>
  </conditionalFormatting>
  <conditionalFormatting sqref="BI13:BI22">
    <cfRule type="cellIs" dxfId="105" priority="228" operator="greaterThan">
      <formula>$D13</formula>
    </cfRule>
    <cfRule type="cellIs" dxfId="104" priority="227" operator="lessThan">
      <formula>$D13</formula>
    </cfRule>
  </conditionalFormatting>
  <conditionalFormatting sqref="BL4:BL6">
    <cfRule type="cellIs" dxfId="103" priority="224" operator="greaterThan">
      <formula>$D4</formula>
    </cfRule>
    <cfRule type="cellIs" dxfId="102" priority="223" operator="lessThan">
      <formula>$D4</formula>
    </cfRule>
  </conditionalFormatting>
  <conditionalFormatting sqref="BL8">
    <cfRule type="cellIs" dxfId="101" priority="226" operator="greaterThan">
      <formula>$D8</formula>
    </cfRule>
    <cfRule type="cellIs" dxfId="100" priority="225" operator="lessThan">
      <formula>$D8</formula>
    </cfRule>
  </conditionalFormatting>
  <conditionalFormatting sqref="BL10:BL11">
    <cfRule type="cellIs" dxfId="99" priority="222" operator="greaterThan">
      <formula>$D10</formula>
    </cfRule>
    <cfRule type="cellIs" dxfId="98" priority="221" operator="lessThan">
      <formula>$D10</formula>
    </cfRule>
  </conditionalFormatting>
  <conditionalFormatting sqref="BL13:BL22">
    <cfRule type="cellIs" dxfId="97" priority="219" operator="lessThan">
      <formula>$D13</formula>
    </cfRule>
    <cfRule type="cellIs" dxfId="96" priority="220" operator="greaterThan">
      <formula>$D13</formula>
    </cfRule>
  </conditionalFormatting>
  <conditionalFormatting sqref="BO4:BO6">
    <cfRule type="cellIs" dxfId="95" priority="215" operator="lessThan">
      <formula>$D4</formula>
    </cfRule>
    <cfRule type="cellIs" dxfId="94" priority="216" operator="greaterThan">
      <formula>$D4</formula>
    </cfRule>
  </conditionalFormatting>
  <conditionalFormatting sqref="BO8">
    <cfRule type="cellIs" dxfId="93" priority="218" operator="greaterThan">
      <formula>$D8</formula>
    </cfRule>
    <cfRule type="cellIs" dxfId="92" priority="217" operator="lessThan">
      <formula>$D8</formula>
    </cfRule>
  </conditionalFormatting>
  <conditionalFormatting sqref="BO10:BO11">
    <cfRule type="cellIs" dxfId="91" priority="213" operator="lessThan">
      <formula>$D10</formula>
    </cfRule>
    <cfRule type="cellIs" dxfId="90" priority="214" operator="greaterThan">
      <formula>$D10</formula>
    </cfRule>
  </conditionalFormatting>
  <conditionalFormatting sqref="BO13:BO22">
    <cfRule type="cellIs" dxfId="89" priority="212" operator="greaterThan">
      <formula>$D13</formula>
    </cfRule>
    <cfRule type="cellIs" dxfId="88" priority="211" operator="lessThan">
      <formula>$D13</formula>
    </cfRule>
  </conditionalFormatting>
  <conditionalFormatting sqref="BR4:BR6">
    <cfRule type="cellIs" dxfId="87" priority="207" operator="lessThan">
      <formula>$D4</formula>
    </cfRule>
    <cfRule type="cellIs" dxfId="86" priority="208" operator="greaterThan">
      <formula>$D4</formula>
    </cfRule>
  </conditionalFormatting>
  <conditionalFormatting sqref="BR8">
    <cfRule type="cellIs" dxfId="85" priority="209" operator="lessThan">
      <formula>$D8</formula>
    </cfRule>
    <cfRule type="cellIs" dxfId="84" priority="210" operator="greaterThan">
      <formula>$D8</formula>
    </cfRule>
  </conditionalFormatting>
  <conditionalFormatting sqref="BR10:BR11">
    <cfRule type="cellIs" dxfId="83" priority="206" operator="greaterThan">
      <formula>$D10</formula>
    </cfRule>
    <cfRule type="cellIs" dxfId="82" priority="205" operator="lessThan">
      <formula>$D10</formula>
    </cfRule>
  </conditionalFormatting>
  <conditionalFormatting sqref="BR13:BR22">
    <cfRule type="cellIs" dxfId="81" priority="204" operator="greaterThan">
      <formula>$D13</formula>
    </cfRule>
    <cfRule type="cellIs" dxfId="80" priority="203" operator="lessThan">
      <formula>$D13</formula>
    </cfRule>
  </conditionalFormatting>
  <conditionalFormatting sqref="BU4:BU6">
    <cfRule type="cellIs" dxfId="79" priority="200" operator="greaterThan">
      <formula>$D4</formula>
    </cfRule>
    <cfRule type="cellIs" dxfId="78" priority="199" operator="lessThan">
      <formula>$D4</formula>
    </cfRule>
  </conditionalFormatting>
  <conditionalFormatting sqref="BU8">
    <cfRule type="cellIs" dxfId="77" priority="202" operator="greaterThan">
      <formula>$D8</formula>
    </cfRule>
    <cfRule type="cellIs" dxfId="76" priority="201" operator="lessThan">
      <formula>$D8</formula>
    </cfRule>
  </conditionalFormatting>
  <conditionalFormatting sqref="BU10:BU11">
    <cfRule type="cellIs" dxfId="75" priority="198" operator="greaterThan">
      <formula>$D10</formula>
    </cfRule>
    <cfRule type="cellIs" dxfId="74" priority="197" operator="lessThan">
      <formula>$D10</formula>
    </cfRule>
  </conditionalFormatting>
  <conditionalFormatting sqref="BU13:BU22">
    <cfRule type="cellIs" dxfId="73" priority="195" operator="lessThan">
      <formula>$D13</formula>
    </cfRule>
    <cfRule type="cellIs" dxfId="72" priority="196" operator="greaterThan">
      <formula>$D13</formula>
    </cfRule>
  </conditionalFormatting>
  <conditionalFormatting sqref="BX4:BX6">
    <cfRule type="cellIs" dxfId="71" priority="191" operator="lessThan">
      <formula>$D4</formula>
    </cfRule>
    <cfRule type="cellIs" dxfId="70" priority="192" operator="greaterThan">
      <formula>$D4</formula>
    </cfRule>
  </conditionalFormatting>
  <conditionalFormatting sqref="BX8">
    <cfRule type="cellIs" dxfId="69" priority="193" operator="lessThan">
      <formula>$D8</formula>
    </cfRule>
    <cfRule type="cellIs" dxfId="68" priority="194" operator="greaterThan">
      <formula>$D8</formula>
    </cfRule>
  </conditionalFormatting>
  <conditionalFormatting sqref="BX10:BX11">
    <cfRule type="cellIs" dxfId="67" priority="189" operator="lessThan">
      <formula>$D10</formula>
    </cfRule>
    <cfRule type="cellIs" dxfId="66" priority="190" operator="greaterThan">
      <formula>$D10</formula>
    </cfRule>
  </conditionalFormatting>
  <conditionalFormatting sqref="BX13:BX22">
    <cfRule type="cellIs" dxfId="65" priority="187" operator="lessThan">
      <formula>$D13</formula>
    </cfRule>
    <cfRule type="cellIs" dxfId="64" priority="188" operator="greaterThan">
      <formula>$D13</formula>
    </cfRule>
  </conditionalFormatting>
  <conditionalFormatting sqref="CA4:CA6">
    <cfRule type="cellIs" dxfId="63" priority="184" operator="greaterThan">
      <formula>$D4</formula>
    </cfRule>
    <cfRule type="cellIs" dxfId="62" priority="183" operator="lessThan">
      <formula>$D4</formula>
    </cfRule>
  </conditionalFormatting>
  <conditionalFormatting sqref="CA8">
    <cfRule type="cellIs" dxfId="61" priority="185" operator="lessThan">
      <formula>$D8</formula>
    </cfRule>
    <cfRule type="cellIs" dxfId="60" priority="186" operator="greaterThan">
      <formula>$D8</formula>
    </cfRule>
  </conditionalFormatting>
  <conditionalFormatting sqref="CA10:CA11">
    <cfRule type="cellIs" dxfId="59" priority="182" operator="greaterThan">
      <formula>$D10</formula>
    </cfRule>
    <cfRule type="cellIs" dxfId="58" priority="181" operator="lessThan">
      <formula>$D10</formula>
    </cfRule>
  </conditionalFormatting>
  <conditionalFormatting sqref="CA13:CA22">
    <cfRule type="cellIs" dxfId="57" priority="179" operator="lessThan">
      <formula>$D13</formula>
    </cfRule>
    <cfRule type="cellIs" dxfId="56" priority="180" operator="greaterThan">
      <formula>$D13</formula>
    </cfRule>
  </conditionalFormatting>
  <conditionalFormatting sqref="CD4:CD6">
    <cfRule type="cellIs" dxfId="55" priority="176" operator="greaterThan">
      <formula>$D4</formula>
    </cfRule>
    <cfRule type="cellIs" dxfId="54" priority="175" operator="lessThan">
      <formula>$D4</formula>
    </cfRule>
  </conditionalFormatting>
  <conditionalFormatting sqref="CD8">
    <cfRule type="cellIs" dxfId="53" priority="177" operator="lessThan">
      <formula>$D8</formula>
    </cfRule>
    <cfRule type="cellIs" dxfId="52" priority="178" operator="greaterThan">
      <formula>$D8</formula>
    </cfRule>
  </conditionalFormatting>
  <conditionalFormatting sqref="CD10:CD11">
    <cfRule type="cellIs" dxfId="51" priority="174" operator="greaterThan">
      <formula>$D10</formula>
    </cfRule>
    <cfRule type="cellIs" dxfId="50" priority="173" operator="lessThan">
      <formula>$D10</formula>
    </cfRule>
  </conditionalFormatting>
  <conditionalFormatting sqref="CD13:CD22">
    <cfRule type="cellIs" dxfId="49" priority="171" operator="lessThan">
      <formula>$D13</formula>
    </cfRule>
    <cfRule type="cellIs" dxfId="48" priority="172" operator="greaterThan">
      <formula>$D13</formula>
    </cfRule>
  </conditionalFormatting>
  <conditionalFormatting sqref="CG4:CG6">
    <cfRule type="cellIs" dxfId="47" priority="167" operator="lessThan">
      <formula>$D4</formula>
    </cfRule>
    <cfRule type="cellIs" dxfId="46" priority="168" operator="greaterThan">
      <formula>$D4</formula>
    </cfRule>
  </conditionalFormatting>
  <conditionalFormatting sqref="CG8">
    <cfRule type="cellIs" dxfId="45" priority="170" operator="greaterThan">
      <formula>$D8</formula>
    </cfRule>
    <cfRule type="cellIs" dxfId="44" priority="169" operator="lessThan">
      <formula>$D8</formula>
    </cfRule>
  </conditionalFormatting>
  <conditionalFormatting sqref="CG10:CG11">
    <cfRule type="cellIs" dxfId="43" priority="166" operator="greaterThan">
      <formula>$D10</formula>
    </cfRule>
    <cfRule type="cellIs" dxfId="42" priority="165" operator="lessThan">
      <formula>$D10</formula>
    </cfRule>
  </conditionalFormatting>
  <conditionalFormatting sqref="CG13:CG22">
    <cfRule type="cellIs" dxfId="41" priority="164" operator="greaterThan">
      <formula>$D13</formula>
    </cfRule>
    <cfRule type="cellIs" dxfId="40" priority="163" operator="lessThan">
      <formula>$D13</formula>
    </cfRule>
  </conditionalFormatting>
  <conditionalFormatting sqref="CJ4:CJ6">
    <cfRule type="cellIs" dxfId="39" priority="160" operator="greaterThan">
      <formula>$D4</formula>
    </cfRule>
    <cfRule type="cellIs" dxfId="38" priority="159" operator="lessThan">
      <formula>$D4</formula>
    </cfRule>
  </conditionalFormatting>
  <conditionalFormatting sqref="CJ8">
    <cfRule type="cellIs" dxfId="37" priority="161" operator="lessThan">
      <formula>$D8</formula>
    </cfRule>
    <cfRule type="cellIs" dxfId="36" priority="162" operator="greaterThan">
      <formula>$D8</formula>
    </cfRule>
  </conditionalFormatting>
  <conditionalFormatting sqref="CJ10:CJ11">
    <cfRule type="cellIs" dxfId="35" priority="158" operator="greaterThan">
      <formula>$D10</formula>
    </cfRule>
    <cfRule type="cellIs" dxfId="34" priority="157" operator="lessThan">
      <formula>$D10</formula>
    </cfRule>
  </conditionalFormatting>
  <conditionalFormatting sqref="CJ13:CJ22">
    <cfRule type="cellIs" dxfId="33" priority="155" operator="lessThan">
      <formula>$D13</formula>
    </cfRule>
    <cfRule type="cellIs" dxfId="32" priority="156" operator="greaterThan">
      <formula>$D13</formula>
    </cfRule>
  </conditionalFormatting>
  <conditionalFormatting sqref="CM4:CM6">
    <cfRule type="cellIs" dxfId="31" priority="151" operator="lessThan">
      <formula>$D4</formula>
    </cfRule>
    <cfRule type="cellIs" dxfId="30" priority="152" operator="greaterThan">
      <formula>$D4</formula>
    </cfRule>
  </conditionalFormatting>
  <conditionalFormatting sqref="CM8">
    <cfRule type="cellIs" dxfId="29" priority="153" operator="lessThan">
      <formula>$D8</formula>
    </cfRule>
    <cfRule type="cellIs" dxfId="28" priority="154" operator="greaterThan">
      <formula>$D8</formula>
    </cfRule>
  </conditionalFormatting>
  <conditionalFormatting sqref="CM10:CM11">
    <cfRule type="cellIs" dxfId="27" priority="150" operator="greaterThan">
      <formula>$D10</formula>
    </cfRule>
    <cfRule type="cellIs" dxfId="26" priority="149" operator="lessThan">
      <formula>$D10</formula>
    </cfRule>
  </conditionalFormatting>
  <conditionalFormatting sqref="CM13:CM22">
    <cfRule type="cellIs" dxfId="25" priority="148" operator="greaterThan">
      <formula>$D13</formula>
    </cfRule>
    <cfRule type="cellIs" dxfId="24" priority="147" operator="lessThan">
      <formula>$D13</formula>
    </cfRule>
  </conditionalFormatting>
  <conditionalFormatting sqref="CP4:CP6">
    <cfRule type="cellIs" dxfId="23" priority="144" operator="greaterThan">
      <formula>$D4</formula>
    </cfRule>
    <cfRule type="cellIs" dxfId="22" priority="143" operator="lessThan">
      <formula>$D4</formula>
    </cfRule>
  </conditionalFormatting>
  <conditionalFormatting sqref="CP8">
    <cfRule type="cellIs" dxfId="21" priority="146" operator="greaterThan">
      <formula>$D8</formula>
    </cfRule>
    <cfRule type="cellIs" dxfId="20" priority="145" operator="lessThan">
      <formula>$D8</formula>
    </cfRule>
  </conditionalFormatting>
  <conditionalFormatting sqref="CP10:CP11">
    <cfRule type="cellIs" dxfId="19" priority="141" operator="lessThan">
      <formula>$D10</formula>
    </cfRule>
    <cfRule type="cellIs" dxfId="18" priority="142" operator="greaterThan">
      <formula>$D10</formula>
    </cfRule>
  </conditionalFormatting>
  <conditionalFormatting sqref="CP13:CP22">
    <cfRule type="cellIs" dxfId="17" priority="140" operator="greaterThan">
      <formula>$D13</formula>
    </cfRule>
    <cfRule type="cellIs" dxfId="16" priority="139" operator="lessThan">
      <formula>$D13</formula>
    </cfRule>
  </conditionalFormatting>
  <conditionalFormatting sqref="CS4:CS6">
    <cfRule type="cellIs" dxfId="15" priority="135" operator="lessThan">
      <formula>$D4</formula>
    </cfRule>
    <cfRule type="cellIs" dxfId="14" priority="136" operator="greaterThan">
      <formula>$D4</formula>
    </cfRule>
  </conditionalFormatting>
  <conditionalFormatting sqref="CS8">
    <cfRule type="cellIs" dxfId="13" priority="137" operator="lessThan">
      <formula>$D8</formula>
    </cfRule>
    <cfRule type="cellIs" dxfId="12" priority="138" operator="greaterThan">
      <formula>$D8</formula>
    </cfRule>
  </conditionalFormatting>
  <conditionalFormatting sqref="CS10:CS11">
    <cfRule type="cellIs" dxfId="11" priority="133" operator="lessThan">
      <formula>$D10</formula>
    </cfRule>
    <cfRule type="cellIs" dxfId="10" priority="134" operator="greaterThan">
      <formula>$D10</formula>
    </cfRule>
  </conditionalFormatting>
  <conditionalFormatting sqref="CS13:CS22">
    <cfRule type="cellIs" dxfId="9" priority="131" operator="lessThan">
      <formula>$D13</formula>
    </cfRule>
    <cfRule type="cellIs" dxfId="8" priority="132" operator="greaterThan">
      <formula>$D13</formula>
    </cfRule>
  </conditionalFormatting>
  <conditionalFormatting sqref="CV4:CV6">
    <cfRule type="cellIs" dxfId="7" priority="256" operator="greaterThan">
      <formula>$D4</formula>
    </cfRule>
    <cfRule type="cellIs" dxfId="6" priority="255" operator="lessThan">
      <formula>$D4</formula>
    </cfRule>
  </conditionalFormatting>
  <conditionalFormatting sqref="CV8">
    <cfRule type="cellIs" dxfId="5" priority="257" operator="lessThan">
      <formula>$D8</formula>
    </cfRule>
    <cfRule type="cellIs" dxfId="4" priority="258" operator="greaterThan">
      <formula>$D8</formula>
    </cfRule>
  </conditionalFormatting>
  <conditionalFormatting sqref="CV10:CV11">
    <cfRule type="cellIs" dxfId="3" priority="253" operator="lessThan">
      <formula>$D10</formula>
    </cfRule>
    <cfRule type="cellIs" dxfId="2" priority="254" operator="greaterThan">
      <formula>$D10</formula>
    </cfRule>
  </conditionalFormatting>
  <conditionalFormatting sqref="CV13:CV22">
    <cfRule type="cellIs" dxfId="1" priority="251" operator="lessThan">
      <formula>$D13</formula>
    </cfRule>
    <cfRule type="cellIs" dxfId="0" priority="252" operator="greaterThan">
      <formula>$D13</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E5C8-0F3F-43CC-B5D6-E151AA91567C}">
  <dimension ref="A2:AA26"/>
  <sheetViews>
    <sheetView showGridLines="0" workbookViewId="0">
      <pane xSplit="3" ySplit="3" topLeftCell="H4" activePane="bottomRight" state="frozen"/>
      <selection pane="topRight" activeCell="G1" sqref="G1"/>
      <selection pane="bottomLeft" activeCell="A4" sqref="A4"/>
      <selection pane="bottomRight" activeCell="X33" sqref="X33"/>
    </sheetView>
  </sheetViews>
  <sheetFormatPr defaultColWidth="8.54296875" defaultRowHeight="11.5" x14ac:dyDescent="0.25"/>
  <cols>
    <col min="1" max="1" width="8.54296875" style="1" bestFit="1" customWidth="1"/>
    <col min="2" max="2" width="11.453125" style="1" bestFit="1" customWidth="1"/>
    <col min="3" max="3" width="4.54296875" style="1" bestFit="1" customWidth="1"/>
    <col min="4" max="16384" width="8.54296875" style="1"/>
  </cols>
  <sheetData>
    <row r="2" spans="1:27" ht="12" thickBot="1" x14ac:dyDescent="0.3">
      <c r="D2" s="104" t="s">
        <v>230</v>
      </c>
      <c r="E2" s="105"/>
      <c r="F2" s="105"/>
      <c r="G2" s="105"/>
      <c r="H2" s="105"/>
      <c r="I2" s="105"/>
      <c r="J2" s="105"/>
      <c r="K2" s="105"/>
      <c r="L2" s="105"/>
      <c r="M2" s="105"/>
      <c r="N2" s="105"/>
      <c r="O2" s="106"/>
      <c r="P2" s="104" t="s">
        <v>231</v>
      </c>
      <c r="Q2" s="105"/>
      <c r="R2" s="105"/>
      <c r="S2" s="105"/>
      <c r="T2" s="105"/>
      <c r="U2" s="105"/>
      <c r="V2" s="105"/>
      <c r="W2" s="105"/>
      <c r="X2" s="105"/>
      <c r="Y2" s="105"/>
      <c r="Z2" s="105"/>
      <c r="AA2" s="106"/>
    </row>
    <row r="3" spans="1:27" ht="12" thickBot="1" x14ac:dyDescent="0.3">
      <c r="A3" s="33"/>
      <c r="B3" s="102" t="s">
        <v>35</v>
      </c>
      <c r="C3" s="103" t="s">
        <v>36</v>
      </c>
      <c r="D3" s="107" t="s">
        <v>232</v>
      </c>
      <c r="E3" s="107" t="s">
        <v>233</v>
      </c>
      <c r="F3" s="107" t="s">
        <v>234</v>
      </c>
      <c r="G3" s="107" t="s">
        <v>235</v>
      </c>
      <c r="H3" s="107" t="s">
        <v>236</v>
      </c>
      <c r="I3" s="107" t="s">
        <v>237</v>
      </c>
      <c r="J3" s="107" t="s">
        <v>238</v>
      </c>
      <c r="K3" s="107" t="s">
        <v>239</v>
      </c>
      <c r="L3" s="107" t="s">
        <v>240</v>
      </c>
      <c r="M3" s="107" t="s">
        <v>241</v>
      </c>
      <c r="N3" s="107" t="s">
        <v>242</v>
      </c>
      <c r="O3" s="107" t="s">
        <v>243</v>
      </c>
      <c r="P3" s="107" t="s">
        <v>244</v>
      </c>
      <c r="Q3" s="107" t="s">
        <v>233</v>
      </c>
      <c r="R3" s="107" t="s">
        <v>234</v>
      </c>
      <c r="S3" s="107" t="s">
        <v>235</v>
      </c>
      <c r="T3" s="107" t="s">
        <v>236</v>
      </c>
      <c r="U3" s="107" t="s">
        <v>237</v>
      </c>
      <c r="V3" s="107" t="s">
        <v>238</v>
      </c>
      <c r="W3" s="107" t="s">
        <v>239</v>
      </c>
      <c r="X3" s="107" t="s">
        <v>240</v>
      </c>
      <c r="Y3" s="107" t="s">
        <v>241</v>
      </c>
      <c r="Z3" s="107" t="s">
        <v>242</v>
      </c>
      <c r="AA3" s="107" t="s">
        <v>243</v>
      </c>
    </row>
    <row r="4" spans="1:27" x14ac:dyDescent="0.25">
      <c r="A4" s="29" t="s">
        <v>11</v>
      </c>
      <c r="B4" s="95" t="s">
        <v>41</v>
      </c>
      <c r="C4" s="96" t="s">
        <v>42</v>
      </c>
      <c r="D4" s="97">
        <v>0.91469999999999996</v>
      </c>
      <c r="E4" s="97">
        <v>0.90200000000000002</v>
      </c>
      <c r="F4" s="97">
        <v>0.91190000000000004</v>
      </c>
      <c r="G4" s="97">
        <v>0.90920000000000001</v>
      </c>
      <c r="H4" s="97">
        <v>0.91569999999999996</v>
      </c>
      <c r="I4" s="97">
        <v>0.91520000000000001</v>
      </c>
      <c r="J4" s="97">
        <v>0.90329999999999999</v>
      </c>
      <c r="K4" s="97">
        <v>0.89870000000000005</v>
      </c>
      <c r="L4" s="97">
        <v>0.89790000000000003</v>
      </c>
      <c r="M4" s="97">
        <v>0.89410000000000001</v>
      </c>
      <c r="N4" s="97">
        <v>0.89100000000000001</v>
      </c>
      <c r="O4" s="97">
        <v>0.87250000000000005</v>
      </c>
      <c r="P4" s="97">
        <v>0.86309999999999998</v>
      </c>
      <c r="Q4" s="97">
        <v>0.85819999999999996</v>
      </c>
      <c r="R4" s="97">
        <v>0.86070000000000002</v>
      </c>
      <c r="S4" s="97">
        <v>0.88380000000000003</v>
      </c>
      <c r="T4" s="97">
        <v>0.90680000000000005</v>
      </c>
      <c r="U4" s="111">
        <v>0.90100000000000002</v>
      </c>
      <c r="V4" s="111">
        <v>0.89239999999999997</v>
      </c>
      <c r="W4" s="6"/>
      <c r="X4" s="6"/>
      <c r="Y4" s="6"/>
      <c r="Z4" s="6"/>
      <c r="AA4" s="6"/>
    </row>
    <row r="5" spans="1:27" x14ac:dyDescent="0.25">
      <c r="A5" s="30" t="s">
        <v>43</v>
      </c>
      <c r="B5" s="49" t="s">
        <v>41</v>
      </c>
      <c r="C5" s="88" t="s">
        <v>44</v>
      </c>
      <c r="D5" s="93">
        <v>0.93379999999999996</v>
      </c>
      <c r="E5" s="93">
        <v>0.94220000000000004</v>
      </c>
      <c r="F5" s="93">
        <v>0.93879999999999997</v>
      </c>
      <c r="G5" s="93">
        <v>0.93069999999999997</v>
      </c>
      <c r="H5" s="93">
        <v>0.91679999999999995</v>
      </c>
      <c r="I5" s="93">
        <v>0.93069999999999997</v>
      </c>
      <c r="J5" s="93">
        <v>0.93930000000000002</v>
      </c>
      <c r="K5" s="93">
        <v>0.94479999999999997</v>
      </c>
      <c r="L5" s="93">
        <v>0.95079999999999998</v>
      </c>
      <c r="M5" s="93">
        <v>0.9456</v>
      </c>
      <c r="N5" s="93">
        <v>0.94930000000000003</v>
      </c>
      <c r="O5" s="93">
        <v>0.9476</v>
      </c>
      <c r="P5" s="93">
        <v>0.93630000000000002</v>
      </c>
      <c r="Q5" s="93">
        <v>0.93389999999999995</v>
      </c>
      <c r="R5" s="93">
        <v>0.92559999999999998</v>
      </c>
      <c r="S5" s="93">
        <v>0.93459999999999999</v>
      </c>
      <c r="T5" s="93">
        <v>0.93759999999999999</v>
      </c>
      <c r="U5" s="92">
        <v>0.90410000000000001</v>
      </c>
      <c r="V5" s="92">
        <v>0.93310000000000004</v>
      </c>
      <c r="W5" s="9"/>
      <c r="X5" s="9"/>
      <c r="Y5" s="9"/>
      <c r="Z5" s="9"/>
      <c r="AA5" s="9"/>
    </row>
    <row r="6" spans="1:27" x14ac:dyDescent="0.25">
      <c r="A6" s="30"/>
      <c r="B6" s="49" t="s">
        <v>41</v>
      </c>
      <c r="C6" s="88" t="s">
        <v>45</v>
      </c>
      <c r="D6" s="93">
        <v>0.88770000000000004</v>
      </c>
      <c r="E6" s="93">
        <v>0.9425</v>
      </c>
      <c r="F6" s="93">
        <v>0.9264</v>
      </c>
      <c r="G6" s="93">
        <v>0.8589</v>
      </c>
      <c r="H6" s="93">
        <v>0.90339999999999998</v>
      </c>
      <c r="I6" s="93">
        <v>0.90280000000000005</v>
      </c>
      <c r="J6" s="93">
        <v>0.91639999999999999</v>
      </c>
      <c r="K6" s="93">
        <v>0.86909999999999998</v>
      </c>
      <c r="L6" s="93">
        <v>0.87050000000000005</v>
      </c>
      <c r="M6" s="93">
        <v>0.93520000000000003</v>
      </c>
      <c r="N6" s="93">
        <v>0.93079999999999996</v>
      </c>
      <c r="O6" s="93">
        <v>0.92930000000000001</v>
      </c>
      <c r="P6" s="93">
        <v>0.92849999999999999</v>
      </c>
      <c r="Q6" s="93">
        <v>0.92559999999999998</v>
      </c>
      <c r="R6" s="93">
        <v>0.92369999999999997</v>
      </c>
      <c r="S6" s="93">
        <v>0.94350000000000001</v>
      </c>
      <c r="T6" s="93">
        <v>0.92710000000000004</v>
      </c>
      <c r="U6" s="92">
        <v>0.92479999999999996</v>
      </c>
      <c r="V6" s="92">
        <v>0.90710000000000002</v>
      </c>
      <c r="W6" s="9"/>
      <c r="X6" s="9"/>
      <c r="Y6" s="9"/>
      <c r="Z6" s="9"/>
      <c r="AA6" s="9"/>
    </row>
    <row r="7" spans="1:27" x14ac:dyDescent="0.25">
      <c r="A7" s="30"/>
      <c r="B7" s="49" t="s">
        <v>41</v>
      </c>
      <c r="C7" s="88" t="s">
        <v>46</v>
      </c>
      <c r="D7" s="93">
        <v>0.92569999999999997</v>
      </c>
      <c r="E7" s="93">
        <v>0.9304</v>
      </c>
      <c r="F7" s="93">
        <v>0.92730000000000001</v>
      </c>
      <c r="G7" s="93">
        <v>0.92969999999999997</v>
      </c>
      <c r="H7" s="93">
        <v>0.91610000000000003</v>
      </c>
      <c r="I7" s="93">
        <v>0.91669999999999996</v>
      </c>
      <c r="J7" s="93">
        <v>0.88239999999999996</v>
      </c>
      <c r="K7" s="93">
        <v>0.92500000000000004</v>
      </c>
      <c r="L7" s="93">
        <v>0.89739999999999998</v>
      </c>
      <c r="M7" s="93" t="s">
        <v>245</v>
      </c>
      <c r="N7" s="93" t="s">
        <v>245</v>
      </c>
      <c r="O7" s="93">
        <v>0.84089999999999998</v>
      </c>
      <c r="P7" s="93">
        <v>0.90149999999999997</v>
      </c>
      <c r="Q7" s="93">
        <v>0.91600000000000004</v>
      </c>
      <c r="R7" s="93">
        <v>0.9093</v>
      </c>
      <c r="S7" s="93">
        <v>0.93089999999999995</v>
      </c>
      <c r="T7" s="93">
        <v>0.93289999999999995</v>
      </c>
      <c r="U7" s="92">
        <v>0.9224</v>
      </c>
      <c r="V7" s="92"/>
      <c r="W7" s="9"/>
      <c r="X7" s="9"/>
      <c r="Y7" s="9"/>
      <c r="Z7" s="9"/>
      <c r="AA7" s="9"/>
    </row>
    <row r="8" spans="1:27" x14ac:dyDescent="0.25">
      <c r="A8" s="30"/>
      <c r="B8" s="49" t="s">
        <v>41</v>
      </c>
      <c r="C8" s="88" t="s">
        <v>47</v>
      </c>
      <c r="D8" s="93">
        <v>0.85499999999999998</v>
      </c>
      <c r="E8" s="93">
        <v>0.82199999999999995</v>
      </c>
      <c r="F8" s="93">
        <v>0.85819999999999996</v>
      </c>
      <c r="G8" s="93">
        <v>0.86339999999999995</v>
      </c>
      <c r="H8" s="93">
        <v>0.81269999999999998</v>
      </c>
      <c r="I8" s="93">
        <v>0.78690000000000004</v>
      </c>
      <c r="J8" s="93">
        <v>0.76749999999999996</v>
      </c>
      <c r="K8" s="93">
        <v>0.73770000000000002</v>
      </c>
      <c r="L8" s="93">
        <v>0.72929999999999995</v>
      </c>
      <c r="M8" s="93">
        <v>0.74690000000000001</v>
      </c>
      <c r="N8" s="93">
        <v>0.73199999999999998</v>
      </c>
      <c r="O8" s="93">
        <v>0.82289999999999996</v>
      </c>
      <c r="P8" s="93">
        <v>0.85289999999999999</v>
      </c>
      <c r="Q8" s="93">
        <v>0.87519999999999998</v>
      </c>
      <c r="R8" s="93">
        <v>0.84560000000000002</v>
      </c>
      <c r="S8" s="93">
        <v>0.79449999999999998</v>
      </c>
      <c r="T8" s="93">
        <v>0.85719999999999996</v>
      </c>
      <c r="U8" s="92">
        <v>0.87</v>
      </c>
      <c r="V8" s="92">
        <v>0.84799999999999998</v>
      </c>
      <c r="W8" s="9"/>
      <c r="X8" s="9"/>
      <c r="Y8" s="9"/>
      <c r="Z8" s="9"/>
      <c r="AA8" s="9"/>
    </row>
    <row r="9" spans="1:27" ht="12" thickBot="1" x14ac:dyDescent="0.3">
      <c r="A9" s="30"/>
      <c r="B9" s="27" t="s">
        <v>48</v>
      </c>
      <c r="C9" s="89" t="s">
        <v>44</v>
      </c>
      <c r="D9" s="94"/>
      <c r="E9" s="94"/>
      <c r="F9" s="94"/>
      <c r="G9" s="94"/>
      <c r="H9" s="94"/>
      <c r="I9" s="94"/>
      <c r="J9" s="94"/>
      <c r="K9" s="94"/>
      <c r="L9" s="94"/>
      <c r="M9" s="94"/>
      <c r="N9" s="94"/>
      <c r="O9" s="94"/>
      <c r="P9" s="94"/>
      <c r="Q9" s="94"/>
      <c r="R9" s="94"/>
      <c r="S9" s="94"/>
      <c r="T9" s="94"/>
      <c r="U9" s="109"/>
      <c r="V9" s="109">
        <v>0.71779999999999999</v>
      </c>
      <c r="W9" s="4"/>
      <c r="X9" s="4"/>
      <c r="Y9" s="4"/>
      <c r="Z9" s="4"/>
      <c r="AA9" s="4"/>
    </row>
    <row r="10" spans="1:27" ht="12" thickBot="1" x14ac:dyDescent="0.3">
      <c r="A10" s="31"/>
      <c r="B10" s="98" t="s">
        <v>49</v>
      </c>
      <c r="C10" s="90" t="s">
        <v>21</v>
      </c>
      <c r="D10" s="99">
        <v>0.91249999999999998</v>
      </c>
      <c r="E10" s="99">
        <v>0.92349999999999999</v>
      </c>
      <c r="F10" s="99">
        <v>0.9284</v>
      </c>
      <c r="G10" s="99">
        <v>0.91210000000000002</v>
      </c>
      <c r="H10" s="99">
        <v>0.90400000000000003</v>
      </c>
      <c r="I10" s="99">
        <v>0.90969999999999995</v>
      </c>
      <c r="J10" s="99">
        <v>0.90200000000000002</v>
      </c>
      <c r="K10" s="99">
        <v>0.8609</v>
      </c>
      <c r="L10" s="99">
        <v>0.87870000000000004</v>
      </c>
      <c r="M10" s="99">
        <v>0.89990000000000003</v>
      </c>
      <c r="N10" s="99">
        <v>0.87990000000000002</v>
      </c>
      <c r="O10" s="99">
        <v>0.89600000000000002</v>
      </c>
      <c r="P10" s="99">
        <v>0.90510000000000002</v>
      </c>
      <c r="Q10" s="99">
        <v>0.9143</v>
      </c>
      <c r="R10" s="99">
        <v>0.8982</v>
      </c>
      <c r="S10" s="99">
        <v>0.90369999999999995</v>
      </c>
      <c r="T10" s="99">
        <v>0.90439999999999998</v>
      </c>
      <c r="U10" s="110">
        <v>0.90100000000000002</v>
      </c>
      <c r="V10" s="110">
        <v>0.88349999999999995</v>
      </c>
      <c r="W10" s="19"/>
      <c r="X10" s="19"/>
      <c r="Y10" s="19"/>
      <c r="Z10" s="19"/>
      <c r="AA10" s="19"/>
    </row>
    <row r="11" spans="1:27" x14ac:dyDescent="0.25">
      <c r="A11" s="30"/>
      <c r="B11" s="95" t="s">
        <v>32</v>
      </c>
      <c r="C11" s="96" t="s">
        <v>50</v>
      </c>
      <c r="D11" s="97">
        <v>0.81030000000000002</v>
      </c>
      <c r="E11" s="97">
        <v>0.83499999999999996</v>
      </c>
      <c r="F11" s="97">
        <v>0.85670000000000002</v>
      </c>
      <c r="G11" s="97">
        <v>0.83120000000000005</v>
      </c>
      <c r="H11" s="97">
        <v>0.84079999999999999</v>
      </c>
      <c r="I11" s="97">
        <v>0.80989999999999995</v>
      </c>
      <c r="J11" s="97">
        <v>0.8024</v>
      </c>
      <c r="K11" s="97">
        <v>0.84789999999999999</v>
      </c>
      <c r="L11" s="97">
        <v>0.83140000000000003</v>
      </c>
      <c r="M11" s="97">
        <v>0.84940000000000004</v>
      </c>
      <c r="N11" s="97">
        <v>0.83379999999999999</v>
      </c>
      <c r="O11" s="97">
        <v>0.86839999999999995</v>
      </c>
      <c r="P11" s="97">
        <v>0.81730000000000003</v>
      </c>
      <c r="Q11" s="97">
        <v>0.79239999999999999</v>
      </c>
      <c r="R11" s="97">
        <v>0.80959999999999999</v>
      </c>
      <c r="S11" s="97">
        <v>0.84450000000000003</v>
      </c>
      <c r="T11" s="97">
        <v>0.83609999999999995</v>
      </c>
      <c r="U11" s="111">
        <v>0.83409999999999995</v>
      </c>
      <c r="V11" s="111">
        <v>0.81950000000000001</v>
      </c>
      <c r="W11" s="6"/>
      <c r="X11" s="6"/>
      <c r="Y11" s="6"/>
      <c r="Z11" s="6"/>
      <c r="AA11" s="6"/>
    </row>
    <row r="12" spans="1:27" ht="12" thickBot="1" x14ac:dyDescent="0.3">
      <c r="A12" s="30"/>
      <c r="B12" s="27" t="s">
        <v>32</v>
      </c>
      <c r="C12" s="89" t="s">
        <v>42</v>
      </c>
      <c r="D12" s="94"/>
      <c r="E12" s="94"/>
      <c r="F12" s="94"/>
      <c r="G12" s="94"/>
      <c r="H12" s="94"/>
      <c r="I12" s="94"/>
      <c r="J12" s="94"/>
      <c r="K12" s="94"/>
      <c r="L12" s="94"/>
      <c r="M12" s="94"/>
      <c r="N12" s="94"/>
      <c r="O12" s="94"/>
      <c r="P12" s="94"/>
      <c r="Q12" s="94"/>
      <c r="R12" s="94"/>
      <c r="S12" s="94"/>
      <c r="T12" s="94"/>
      <c r="U12" s="109"/>
      <c r="V12" s="109"/>
      <c r="W12" s="4"/>
      <c r="X12" s="4"/>
      <c r="Y12" s="4"/>
      <c r="Z12" s="4"/>
      <c r="AA12" s="4"/>
    </row>
    <row r="13" spans="1:27" ht="12" thickBot="1" x14ac:dyDescent="0.3">
      <c r="A13" s="31"/>
      <c r="B13" s="98" t="s">
        <v>51</v>
      </c>
      <c r="C13" s="90" t="s">
        <v>21</v>
      </c>
      <c r="D13" s="99">
        <v>0.81030000000000002</v>
      </c>
      <c r="E13" s="99">
        <v>0.83499999999999996</v>
      </c>
      <c r="F13" s="99">
        <v>0.85670000000000002</v>
      </c>
      <c r="G13" s="99">
        <v>0.83120000000000005</v>
      </c>
      <c r="H13" s="99">
        <v>0.84079999999999999</v>
      </c>
      <c r="I13" s="99">
        <v>0.80989999999999995</v>
      </c>
      <c r="J13" s="99">
        <v>0.8024</v>
      </c>
      <c r="K13" s="99">
        <v>0.84789999999999999</v>
      </c>
      <c r="L13" s="99">
        <v>0.83140000000000003</v>
      </c>
      <c r="M13" s="99">
        <v>0.84940000000000004</v>
      </c>
      <c r="N13" s="99">
        <v>0.83379999999999999</v>
      </c>
      <c r="O13" s="99">
        <v>0.86839999999999995</v>
      </c>
      <c r="P13" s="99">
        <v>0.81730000000000003</v>
      </c>
      <c r="Q13" s="99">
        <v>0.79239999999999999</v>
      </c>
      <c r="R13" s="99">
        <v>0.80959999999999999</v>
      </c>
      <c r="S13" s="99">
        <v>0.84450000000000003</v>
      </c>
      <c r="T13" s="99">
        <v>0.83609999999999995</v>
      </c>
      <c r="U13" s="110">
        <v>0.83409999999999995</v>
      </c>
      <c r="V13" s="110">
        <v>0.81950000000000001</v>
      </c>
      <c r="W13" s="19"/>
      <c r="X13" s="19"/>
      <c r="Y13" s="19"/>
      <c r="Z13" s="19"/>
      <c r="AA13" s="19"/>
    </row>
    <row r="14" spans="1:27" x14ac:dyDescent="0.25">
      <c r="A14" s="30"/>
      <c r="B14" s="95" t="s">
        <v>52</v>
      </c>
      <c r="C14" s="96" t="s">
        <v>53</v>
      </c>
      <c r="D14" s="97">
        <v>0.93959999999999999</v>
      </c>
      <c r="E14" s="97">
        <v>0.93530000000000002</v>
      </c>
      <c r="F14" s="97">
        <v>0.93359999999999999</v>
      </c>
      <c r="G14" s="97">
        <v>0.92</v>
      </c>
      <c r="H14" s="97">
        <v>0.92869999999999997</v>
      </c>
      <c r="I14" s="97">
        <v>0.9284</v>
      </c>
      <c r="J14" s="97">
        <v>0.91290000000000004</v>
      </c>
      <c r="K14" s="97">
        <v>0.92179999999999995</v>
      </c>
      <c r="L14" s="97">
        <v>0.92090000000000005</v>
      </c>
      <c r="M14" s="97">
        <v>0.93310000000000004</v>
      </c>
      <c r="N14" s="97">
        <v>0.93630000000000002</v>
      </c>
      <c r="O14" s="97">
        <v>0.93779999999999997</v>
      </c>
      <c r="P14" s="97">
        <v>0.9425</v>
      </c>
      <c r="Q14" s="97">
        <v>0.95009999999999994</v>
      </c>
      <c r="R14" s="97">
        <v>0.95579999999999998</v>
      </c>
      <c r="S14" s="97">
        <v>0.94879999999999998</v>
      </c>
      <c r="T14" s="97">
        <v>0.94799999999999995</v>
      </c>
      <c r="U14" s="111">
        <v>0.9446</v>
      </c>
      <c r="V14" s="111">
        <v>0.92600000000000005</v>
      </c>
      <c r="W14" s="6"/>
      <c r="X14" s="6"/>
      <c r="Y14" s="6"/>
      <c r="Z14" s="6"/>
      <c r="AA14" s="6"/>
    </row>
    <row r="15" spans="1:27" x14ac:dyDescent="0.25">
      <c r="A15" s="30"/>
      <c r="B15" s="49" t="s">
        <v>52</v>
      </c>
      <c r="C15" s="88" t="s">
        <v>45</v>
      </c>
      <c r="D15" s="93">
        <v>0.93369999999999997</v>
      </c>
      <c r="E15" s="93">
        <v>0.93220000000000003</v>
      </c>
      <c r="F15" s="93">
        <v>0.94299999999999995</v>
      </c>
      <c r="G15" s="93">
        <v>0.9456</v>
      </c>
      <c r="H15" s="93">
        <v>0.94920000000000004</v>
      </c>
      <c r="I15" s="93">
        <v>0.94310000000000005</v>
      </c>
      <c r="J15" s="93">
        <v>0.9415</v>
      </c>
      <c r="K15" s="93">
        <v>0.94040000000000001</v>
      </c>
      <c r="L15" s="93">
        <v>0.93430000000000002</v>
      </c>
      <c r="M15" s="93">
        <v>0.93189999999999995</v>
      </c>
      <c r="N15" s="93">
        <v>0.92210000000000003</v>
      </c>
      <c r="O15" s="93">
        <v>0.92059999999999997</v>
      </c>
      <c r="P15" s="93">
        <v>0.92559999999999998</v>
      </c>
      <c r="Q15" s="93">
        <v>0.92579999999999996</v>
      </c>
      <c r="R15" s="93">
        <v>0.9224</v>
      </c>
      <c r="S15" s="93">
        <v>0.93269999999999997</v>
      </c>
      <c r="T15" s="93">
        <v>0.93469999999999998</v>
      </c>
      <c r="U15" s="92">
        <v>0.92820000000000003</v>
      </c>
      <c r="V15" s="92">
        <v>0.92479999999999996</v>
      </c>
      <c r="W15" s="9"/>
      <c r="X15" s="9"/>
      <c r="Y15" s="9"/>
      <c r="Z15" s="9"/>
      <c r="AA15" s="9"/>
    </row>
    <row r="16" spans="1:27" x14ac:dyDescent="0.25">
      <c r="A16" s="30"/>
      <c r="B16" s="49" t="s">
        <v>52</v>
      </c>
      <c r="C16" s="88" t="s">
        <v>54</v>
      </c>
      <c r="D16" s="93">
        <v>0.90859999999999996</v>
      </c>
      <c r="E16" s="93">
        <v>0.93700000000000006</v>
      </c>
      <c r="F16" s="93">
        <v>0.94330000000000003</v>
      </c>
      <c r="G16" s="93">
        <v>0.9335</v>
      </c>
      <c r="H16" s="93">
        <v>0.77339999999999998</v>
      </c>
      <c r="I16" s="93" t="s">
        <v>245</v>
      </c>
      <c r="J16" s="93">
        <v>0.87590000000000001</v>
      </c>
      <c r="K16" s="93">
        <v>0.92320000000000002</v>
      </c>
      <c r="L16" s="93">
        <v>0.8821</v>
      </c>
      <c r="M16" s="93">
        <v>0.93030000000000002</v>
      </c>
      <c r="N16" s="93">
        <v>0.94340000000000002</v>
      </c>
      <c r="O16" s="93">
        <v>0.89490000000000003</v>
      </c>
      <c r="P16" s="93">
        <v>0.79859999999999998</v>
      </c>
      <c r="Q16" s="93">
        <v>0.86890000000000001</v>
      </c>
      <c r="R16" s="93">
        <v>0.89700000000000002</v>
      </c>
      <c r="S16" s="93">
        <v>0.88229999999999997</v>
      </c>
      <c r="T16" s="93">
        <v>0.81899999999999995</v>
      </c>
      <c r="U16" s="92">
        <v>0.83289999999999997</v>
      </c>
      <c r="V16" s="92">
        <v>0.7903</v>
      </c>
      <c r="W16" s="9"/>
      <c r="X16" s="9"/>
      <c r="Y16" s="9"/>
      <c r="Z16" s="9"/>
      <c r="AA16" s="9"/>
    </row>
    <row r="17" spans="1:27" x14ac:dyDescent="0.25">
      <c r="A17" s="30"/>
      <c r="B17" s="49" t="s">
        <v>52</v>
      </c>
      <c r="C17" s="88" t="s">
        <v>55</v>
      </c>
      <c r="D17" s="93">
        <v>0.95589999999999997</v>
      </c>
      <c r="E17" s="93">
        <v>0.95320000000000005</v>
      </c>
      <c r="F17" s="93">
        <v>0.95520000000000005</v>
      </c>
      <c r="G17" s="93">
        <v>0.94650000000000001</v>
      </c>
      <c r="H17" s="93">
        <v>0.95109999999999995</v>
      </c>
      <c r="I17" s="93">
        <v>0.94110000000000005</v>
      </c>
      <c r="J17" s="93">
        <v>0.92800000000000005</v>
      </c>
      <c r="K17" s="93">
        <v>0.92859999999999998</v>
      </c>
      <c r="L17" s="93">
        <v>0.92810000000000004</v>
      </c>
      <c r="M17" s="93">
        <v>0.93369999999999997</v>
      </c>
      <c r="N17" s="93">
        <v>0.93930000000000002</v>
      </c>
      <c r="O17" s="93">
        <v>0.90749999999999997</v>
      </c>
      <c r="P17" s="93">
        <v>0.91739999999999999</v>
      </c>
      <c r="Q17" s="93">
        <v>0.94289999999999996</v>
      </c>
      <c r="R17" s="93">
        <v>0.91700000000000004</v>
      </c>
      <c r="S17" s="93">
        <v>0.93089999999999995</v>
      </c>
      <c r="T17" s="93">
        <v>0.9274</v>
      </c>
      <c r="U17" s="92">
        <v>0.93140000000000001</v>
      </c>
      <c r="V17" s="92">
        <v>0.93340000000000001</v>
      </c>
      <c r="W17" s="9"/>
      <c r="X17" s="9"/>
      <c r="Y17" s="9"/>
      <c r="Z17" s="9"/>
      <c r="AA17" s="9"/>
    </row>
    <row r="18" spans="1:27" x14ac:dyDescent="0.25">
      <c r="A18" s="30"/>
      <c r="B18" s="49" t="s">
        <v>56</v>
      </c>
      <c r="C18" s="88" t="s">
        <v>55</v>
      </c>
      <c r="D18" s="93">
        <v>0.95320000000000005</v>
      </c>
      <c r="E18" s="93">
        <v>0.95379999999999998</v>
      </c>
      <c r="F18" s="93">
        <v>0.95540000000000003</v>
      </c>
      <c r="G18" s="93">
        <v>0.94879999999999998</v>
      </c>
      <c r="H18" s="93">
        <v>0.94879999999999998</v>
      </c>
      <c r="I18" s="93">
        <v>0.94199999999999995</v>
      </c>
      <c r="J18" s="93">
        <v>0.93149999999999999</v>
      </c>
      <c r="K18" s="93">
        <v>0.93969999999999998</v>
      </c>
      <c r="L18" s="93">
        <v>0.93400000000000005</v>
      </c>
      <c r="M18" s="93">
        <v>0.9375</v>
      </c>
      <c r="N18" s="93">
        <v>0.94079999999999997</v>
      </c>
      <c r="O18" s="93">
        <v>0.93010000000000004</v>
      </c>
      <c r="P18" s="93">
        <v>0.91900000000000004</v>
      </c>
      <c r="Q18" s="93">
        <v>0.94020000000000004</v>
      </c>
      <c r="R18" s="93">
        <v>0.94530000000000003</v>
      </c>
      <c r="S18" s="93">
        <v>0.94169999999999998</v>
      </c>
      <c r="T18" s="93">
        <v>0.93669999999999998</v>
      </c>
      <c r="U18" s="92">
        <v>0.92800000000000005</v>
      </c>
      <c r="V18" s="92">
        <v>0.92669999999999997</v>
      </c>
      <c r="W18" s="9"/>
      <c r="X18" s="9"/>
      <c r="Y18" s="9"/>
      <c r="Z18" s="9"/>
      <c r="AA18" s="9"/>
    </row>
    <row r="19" spans="1:27" x14ac:dyDescent="0.25">
      <c r="A19" s="30"/>
      <c r="B19" s="49" t="s">
        <v>57</v>
      </c>
      <c r="C19" s="88" t="s">
        <v>55</v>
      </c>
      <c r="D19" s="93">
        <v>0.94779999999999998</v>
      </c>
      <c r="E19" s="93">
        <v>0.93359999999999999</v>
      </c>
      <c r="F19" s="93">
        <v>0.94910000000000005</v>
      </c>
      <c r="G19" s="93">
        <v>0.90639999999999998</v>
      </c>
      <c r="H19" s="93">
        <v>0.93559999999999999</v>
      </c>
      <c r="I19" s="93">
        <v>0.94069999999999998</v>
      </c>
      <c r="J19" s="93">
        <v>0.9325</v>
      </c>
      <c r="K19" s="93">
        <v>0.93530000000000002</v>
      </c>
      <c r="L19" s="93">
        <v>0.95079999999999998</v>
      </c>
      <c r="M19" s="93">
        <v>0.93479999999999996</v>
      </c>
      <c r="N19" s="93">
        <v>0.93159999999999998</v>
      </c>
      <c r="O19" s="93">
        <v>0.93620000000000003</v>
      </c>
      <c r="P19" s="93">
        <v>0.93869999999999998</v>
      </c>
      <c r="Q19" s="93">
        <v>0.93959999999999999</v>
      </c>
      <c r="R19" s="93">
        <v>0.93840000000000001</v>
      </c>
      <c r="S19" s="93">
        <v>0.94450000000000001</v>
      </c>
      <c r="T19" s="93">
        <v>0.92820000000000003</v>
      </c>
      <c r="U19" s="92">
        <v>0.9405</v>
      </c>
      <c r="V19" s="92">
        <v>0.92210000000000003</v>
      </c>
      <c r="W19" s="9"/>
      <c r="X19" s="9"/>
      <c r="Y19" s="9"/>
      <c r="Z19" s="9"/>
      <c r="AA19" s="9"/>
    </row>
    <row r="20" spans="1:27" ht="12" thickBot="1" x14ac:dyDescent="0.3">
      <c r="A20" s="30"/>
      <c r="B20" s="28" t="s">
        <v>58</v>
      </c>
      <c r="C20" s="91" t="s">
        <v>55</v>
      </c>
      <c r="D20" s="94">
        <v>0.94650000000000001</v>
      </c>
      <c r="E20" s="94">
        <v>0.95879999999999999</v>
      </c>
      <c r="F20" s="94">
        <v>0.95099999999999996</v>
      </c>
      <c r="G20" s="94">
        <v>0.94950000000000001</v>
      </c>
      <c r="H20" s="94">
        <v>0.94699999999999995</v>
      </c>
      <c r="I20" s="94">
        <v>0.95979999999999999</v>
      </c>
      <c r="J20" s="94">
        <v>0.95199999999999996</v>
      </c>
      <c r="K20" s="94" t="s">
        <v>245</v>
      </c>
      <c r="L20" s="94">
        <v>0.94550000000000001</v>
      </c>
      <c r="M20" s="94">
        <v>0.93479999999999996</v>
      </c>
      <c r="N20" s="94">
        <v>0.87990000000000002</v>
      </c>
      <c r="O20" s="94">
        <v>0.93120000000000003</v>
      </c>
      <c r="P20" s="94" t="s">
        <v>245</v>
      </c>
      <c r="Q20" s="94" t="s">
        <v>245</v>
      </c>
      <c r="R20" s="94">
        <v>0.94320000000000004</v>
      </c>
      <c r="S20" s="94">
        <v>0.95320000000000005</v>
      </c>
      <c r="T20" s="94">
        <v>0.95069999999999999</v>
      </c>
      <c r="U20" s="109">
        <v>0.95330000000000004</v>
      </c>
      <c r="V20" s="109">
        <v>0.94</v>
      </c>
      <c r="W20" s="4"/>
      <c r="X20" s="4"/>
      <c r="Y20" s="4"/>
      <c r="Z20" s="4"/>
      <c r="AA20" s="4"/>
    </row>
    <row r="21" spans="1:27" ht="12" thickBot="1" x14ac:dyDescent="0.3">
      <c r="A21" s="31"/>
      <c r="B21" s="98" t="s">
        <v>59</v>
      </c>
      <c r="C21" s="90" t="s">
        <v>21</v>
      </c>
      <c r="D21" s="99">
        <v>0.94530000000000003</v>
      </c>
      <c r="E21" s="99">
        <v>0.94530000000000003</v>
      </c>
      <c r="F21" s="99">
        <v>0.94930000000000003</v>
      </c>
      <c r="G21" s="99">
        <v>0.94430000000000003</v>
      </c>
      <c r="H21" s="99">
        <v>0.94810000000000005</v>
      </c>
      <c r="I21" s="99">
        <v>0.94169999999999998</v>
      </c>
      <c r="J21" s="99">
        <v>0.93279999999999996</v>
      </c>
      <c r="K21" s="99">
        <v>0.93459999999999999</v>
      </c>
      <c r="L21" s="99">
        <v>0.93020000000000003</v>
      </c>
      <c r="M21" s="99">
        <v>0.93359999999999999</v>
      </c>
      <c r="N21" s="99">
        <v>0.93300000000000005</v>
      </c>
      <c r="O21" s="99">
        <v>0.9194</v>
      </c>
      <c r="P21" s="99">
        <v>0.92349999999999999</v>
      </c>
      <c r="Q21" s="99">
        <v>0.93640000000000001</v>
      </c>
      <c r="R21" s="99">
        <v>0.92779999999999996</v>
      </c>
      <c r="S21" s="99">
        <v>0.93469999999999998</v>
      </c>
      <c r="T21" s="99">
        <v>0.9325</v>
      </c>
      <c r="U21" s="110">
        <v>0.93079999999999996</v>
      </c>
      <c r="V21" s="110">
        <v>0.92449999999999999</v>
      </c>
      <c r="W21" s="19"/>
      <c r="X21" s="19"/>
      <c r="Y21" s="19"/>
      <c r="Z21" s="19"/>
      <c r="AA21" s="19"/>
    </row>
    <row r="22" spans="1:27" ht="12" thickBot="1" x14ac:dyDescent="0.3">
      <c r="A22" s="32"/>
      <c r="B22" s="98" t="s">
        <v>60</v>
      </c>
      <c r="C22" s="101" t="s">
        <v>21</v>
      </c>
      <c r="D22" s="108">
        <v>0.94040000000000001</v>
      </c>
      <c r="E22" s="108">
        <v>0.94010000000000005</v>
      </c>
      <c r="F22" s="108">
        <v>0.94540000000000002</v>
      </c>
      <c r="G22" s="108">
        <v>0.93700000000000006</v>
      </c>
      <c r="H22" s="108">
        <v>0.9385</v>
      </c>
      <c r="I22" s="108">
        <v>0.93189999999999995</v>
      </c>
      <c r="J22" s="108">
        <v>0.92490000000000006</v>
      </c>
      <c r="K22" s="108">
        <v>0.92400000000000004</v>
      </c>
      <c r="L22" s="108">
        <v>0.92249999999999999</v>
      </c>
      <c r="M22" s="108">
        <v>0.92730000000000001</v>
      </c>
      <c r="N22" s="108">
        <v>0.92269999999999996</v>
      </c>
      <c r="O22" s="108">
        <v>0.91400000000000003</v>
      </c>
      <c r="P22" s="108">
        <v>0.91790000000000005</v>
      </c>
      <c r="Q22" s="108">
        <v>0.92949999999999999</v>
      </c>
      <c r="R22" s="108">
        <v>0.92030000000000001</v>
      </c>
      <c r="S22" s="108">
        <v>0.92789999999999995</v>
      </c>
      <c r="T22" s="108">
        <v>0.92579999999999996</v>
      </c>
      <c r="U22" s="112">
        <v>0.92390000000000005</v>
      </c>
      <c r="V22" s="110">
        <v>0.91490000000000005</v>
      </c>
      <c r="W22" s="19"/>
      <c r="X22" s="19"/>
      <c r="Y22" s="19"/>
      <c r="Z22" s="19"/>
      <c r="AA22" s="19"/>
    </row>
    <row r="23" spans="1:27" x14ac:dyDescent="0.25">
      <c r="A23" s="34" t="s">
        <v>24</v>
      </c>
      <c r="B23" s="100" t="s">
        <v>25</v>
      </c>
      <c r="C23" s="52"/>
      <c r="D23" s="92">
        <v>0.98799999999999999</v>
      </c>
      <c r="E23" s="92">
        <v>0.98409999999999997</v>
      </c>
      <c r="F23" s="92">
        <v>0.98599999999999999</v>
      </c>
      <c r="G23" s="92">
        <v>0.98580000000000001</v>
      </c>
      <c r="H23" s="92">
        <v>0.98550000000000004</v>
      </c>
      <c r="I23" s="92">
        <v>0.98309999999999997</v>
      </c>
      <c r="J23" s="92">
        <v>0.98409999999999997</v>
      </c>
      <c r="K23" s="92">
        <v>0.98216999999999999</v>
      </c>
      <c r="L23" s="92">
        <v>0.9839</v>
      </c>
      <c r="M23" s="92">
        <v>0.98089999999999999</v>
      </c>
      <c r="N23" s="92">
        <v>0.98409999999999997</v>
      </c>
      <c r="O23" s="92">
        <v>0.98360000000000003</v>
      </c>
      <c r="P23" s="92">
        <v>0.98599999999999999</v>
      </c>
      <c r="Q23" s="92">
        <v>0.98470000000000002</v>
      </c>
      <c r="R23" s="92">
        <v>0.98470000000000002</v>
      </c>
      <c r="S23" s="92">
        <v>0.98429999999999995</v>
      </c>
      <c r="T23" s="92">
        <v>0.98319999999999996</v>
      </c>
      <c r="U23" s="92">
        <v>0.98560000000000003</v>
      </c>
      <c r="V23" s="92"/>
      <c r="W23" s="92"/>
      <c r="X23" s="92"/>
      <c r="Y23" s="92"/>
      <c r="Z23" s="92"/>
      <c r="AA23" s="92"/>
    </row>
    <row r="24" spans="1:27" x14ac:dyDescent="0.25">
      <c r="A24" s="35" t="s">
        <v>246</v>
      </c>
      <c r="B24" s="41" t="s">
        <v>26</v>
      </c>
      <c r="C24" s="37"/>
      <c r="D24" s="92">
        <v>0.98970000000000002</v>
      </c>
      <c r="E24" s="92">
        <v>0.99260000000000004</v>
      </c>
      <c r="F24" s="92">
        <v>0.99180000000000001</v>
      </c>
      <c r="G24" s="92">
        <v>0.99050000000000005</v>
      </c>
      <c r="H24" s="92">
        <v>0.99119999999999997</v>
      </c>
      <c r="I24" s="92">
        <v>0.99180000000000001</v>
      </c>
      <c r="J24" s="92">
        <v>0.99299999999999999</v>
      </c>
      <c r="K24" s="92">
        <v>0.99299000000000004</v>
      </c>
      <c r="L24" s="92">
        <v>0.99329999999999996</v>
      </c>
      <c r="M24" s="92">
        <v>0.9919</v>
      </c>
      <c r="N24" s="92">
        <v>0.99339999999999995</v>
      </c>
      <c r="O24" s="92">
        <v>0.99309999999999998</v>
      </c>
      <c r="P24" s="92">
        <v>0.99370000000000003</v>
      </c>
      <c r="Q24" s="92">
        <v>0.99370000000000003</v>
      </c>
      <c r="R24" s="92">
        <v>0.99270000000000003</v>
      </c>
      <c r="S24" s="92">
        <v>0.99239999999999995</v>
      </c>
      <c r="T24" s="92">
        <v>0.99309999999999998</v>
      </c>
      <c r="U24" s="92">
        <v>0.99270000000000003</v>
      </c>
      <c r="V24" s="92"/>
      <c r="W24" s="92"/>
      <c r="X24" s="92"/>
      <c r="Y24" s="92"/>
      <c r="Z24" s="92"/>
      <c r="AA24" s="92"/>
    </row>
    <row r="25" spans="1:27" ht="12" thickBot="1" x14ac:dyDescent="0.3">
      <c r="A25" s="35"/>
      <c r="B25" s="83" t="s">
        <v>27</v>
      </c>
      <c r="C25" s="79"/>
      <c r="D25" s="109">
        <v>0.99370000000000003</v>
      </c>
      <c r="E25" s="109">
        <v>0.99380000000000002</v>
      </c>
      <c r="F25" s="109">
        <v>0.99280000000000002</v>
      </c>
      <c r="G25" s="109">
        <v>0.99209999999999998</v>
      </c>
      <c r="H25" s="109">
        <v>0.99199999999999999</v>
      </c>
      <c r="I25" s="109">
        <v>0.99270000000000003</v>
      </c>
      <c r="J25" s="109">
        <v>0.99219999999999997</v>
      </c>
      <c r="K25" s="109">
        <v>0.99285999999999996</v>
      </c>
      <c r="L25" s="109">
        <v>0.99160000000000004</v>
      </c>
      <c r="M25" s="109">
        <v>0.99229999999999996</v>
      </c>
      <c r="N25" s="109">
        <v>0.99019999999999997</v>
      </c>
      <c r="O25" s="109">
        <v>0.99039999999999995</v>
      </c>
      <c r="P25" s="109">
        <v>0.9919</v>
      </c>
      <c r="Q25" s="109">
        <v>0.9929</v>
      </c>
      <c r="R25" s="109">
        <v>0.99299999999999999</v>
      </c>
      <c r="S25" s="109">
        <v>0.99319999999999997</v>
      </c>
      <c r="T25" s="109">
        <v>0.99450000000000005</v>
      </c>
      <c r="U25" s="109">
        <v>0.99409999999999998</v>
      </c>
      <c r="V25" s="109"/>
      <c r="W25" s="109"/>
      <c r="X25" s="109"/>
      <c r="Y25" s="109"/>
      <c r="Z25" s="109"/>
      <c r="AA25" s="109"/>
    </row>
    <row r="26" spans="1:27" ht="12" thickBot="1" x14ac:dyDescent="0.3">
      <c r="A26" s="36"/>
      <c r="B26" s="84" t="s">
        <v>247</v>
      </c>
      <c r="C26" s="85"/>
      <c r="D26" s="110">
        <v>0.99129999999999996</v>
      </c>
      <c r="E26" s="110">
        <v>0.99029999999999996</v>
      </c>
      <c r="F26" s="110">
        <v>0.99070000000000003</v>
      </c>
      <c r="G26" s="110">
        <v>0.98970000000000002</v>
      </c>
      <c r="H26" s="110">
        <v>0.99009999999999998</v>
      </c>
      <c r="I26" s="110">
        <v>0.9899</v>
      </c>
      <c r="J26" s="110">
        <v>0.99039999999999995</v>
      </c>
      <c r="K26" s="110">
        <v>0.99063000000000001</v>
      </c>
      <c r="L26" s="110">
        <v>0.99009999999999998</v>
      </c>
      <c r="M26" s="110">
        <v>0.98909999999999998</v>
      </c>
      <c r="N26" s="110">
        <v>0.98960000000000004</v>
      </c>
      <c r="O26" s="110">
        <v>0.98980000000000001</v>
      </c>
      <c r="P26" s="110">
        <v>0.99099999999999999</v>
      </c>
      <c r="Q26" s="110">
        <v>0.99109999999999998</v>
      </c>
      <c r="R26" s="110">
        <v>0.99070000000000003</v>
      </c>
      <c r="S26" s="110">
        <v>0.99060000000000004</v>
      </c>
      <c r="T26" s="110">
        <v>0.9909</v>
      </c>
      <c r="U26" s="110">
        <v>0.99160000000000004</v>
      </c>
      <c r="V26" s="19"/>
      <c r="W26" s="19"/>
      <c r="X26" s="19"/>
      <c r="Y26" s="19"/>
      <c r="Z26" s="19"/>
      <c r="AA26" s="19"/>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CCBB9-28F5-4340-8DE6-058E7031CE3E}">
  <dimension ref="A1:CY67"/>
  <sheetViews>
    <sheetView showGridLines="0" zoomScale="91" zoomScaleNormal="100" workbookViewId="0">
      <pane xSplit="6" ySplit="4" topLeftCell="S5" activePane="bottomRight" state="frozen"/>
      <selection pane="topRight" activeCell="G1" sqref="G1"/>
      <selection pane="bottomLeft" activeCell="A5" sqref="A5"/>
      <selection pane="bottomRight" activeCell="U18" sqref="U18"/>
    </sheetView>
  </sheetViews>
  <sheetFormatPr defaultColWidth="8.54296875" defaultRowHeight="11.5" x14ac:dyDescent="0.25"/>
  <cols>
    <col min="1" max="1" width="7.1796875" style="1" customWidth="1"/>
    <col min="2" max="2" width="5.54296875" style="1" customWidth="1"/>
    <col min="3" max="3" width="14.81640625" style="1" customWidth="1"/>
    <col min="4" max="4" width="14.453125" style="1" customWidth="1"/>
    <col min="5" max="5" width="9.453125" style="1" bestFit="1" customWidth="1"/>
    <col min="6" max="6" width="10.453125" style="1" customWidth="1"/>
    <col min="7" max="7" width="5.54296875" style="1" bestFit="1" customWidth="1"/>
    <col min="8" max="8" width="9.453125" style="1" bestFit="1" customWidth="1"/>
    <col min="9" max="9" width="4.54296875" style="1" bestFit="1" customWidth="1"/>
    <col min="10" max="10" width="5.54296875" style="1" bestFit="1" customWidth="1"/>
    <col min="11" max="11" width="9.453125" style="1" bestFit="1" customWidth="1"/>
    <col min="12" max="12" width="4.54296875" style="1" bestFit="1" customWidth="1"/>
    <col min="13" max="13" width="5.54296875" style="1" bestFit="1" customWidth="1"/>
    <col min="14" max="14" width="9.453125" style="1" bestFit="1" customWidth="1"/>
    <col min="15" max="15" width="4.26953125" style="1" bestFit="1" customWidth="1"/>
    <col min="16" max="16" width="5.54296875" style="1" bestFit="1" customWidth="1"/>
    <col min="17" max="17" width="9.453125" style="1" bestFit="1" customWidth="1"/>
    <col min="18" max="18" width="3.453125" style="1" bestFit="1" customWidth="1"/>
    <col min="19" max="19" width="5.54296875" style="1" bestFit="1" customWidth="1"/>
    <col min="20" max="20" width="10.453125" style="1" bestFit="1" customWidth="1"/>
    <col min="21" max="21" width="6" style="1" bestFit="1" customWidth="1"/>
    <col min="22" max="22" width="5.54296875" style="1" bestFit="1" customWidth="1"/>
    <col min="23" max="23" width="9.453125" style="1" bestFit="1" customWidth="1"/>
    <col min="24" max="24" width="4.54296875" style="1" bestFit="1" customWidth="1"/>
    <col min="25" max="25" width="5.54296875" style="1" bestFit="1" customWidth="1"/>
    <col min="26" max="26" width="9.453125" style="1" bestFit="1" customWidth="1"/>
    <col min="27" max="27" width="4.54296875" style="1" bestFit="1" customWidth="1"/>
    <col min="28" max="28" width="5.54296875" style="1" bestFit="1" customWidth="1"/>
    <col min="29" max="29" width="9.453125" style="1" bestFit="1" customWidth="1"/>
    <col min="30" max="30" width="4.54296875" style="1" bestFit="1" customWidth="1"/>
    <col min="31" max="31" width="5.54296875" style="1" bestFit="1" customWidth="1"/>
    <col min="32" max="32" width="9.453125" style="1" bestFit="1" customWidth="1"/>
    <col min="33" max="33" width="4.54296875" style="1" bestFit="1" customWidth="1"/>
    <col min="34" max="34" width="6.453125" style="1" bestFit="1" customWidth="1"/>
    <col min="35" max="35" width="9.453125" style="1" bestFit="1" customWidth="1"/>
    <col min="36" max="36" width="4.54296875" style="1" customWidth="1"/>
    <col min="37" max="37" width="6.453125" style="1" bestFit="1" customWidth="1"/>
    <col min="38" max="38" width="9.453125" style="1" bestFit="1" customWidth="1"/>
    <col min="39" max="39" width="4.54296875" style="1" customWidth="1"/>
    <col min="40" max="40" width="6.453125" style="1" bestFit="1" customWidth="1"/>
    <col min="41" max="41" width="12.453125" style="1" bestFit="1" customWidth="1"/>
    <col min="42" max="42" width="6" style="1" bestFit="1" customWidth="1"/>
    <col min="43" max="43" width="6.453125" style="1" bestFit="1" customWidth="1"/>
    <col min="44" max="44" width="12.453125" style="1" bestFit="1" customWidth="1"/>
    <col min="45" max="45" width="6.54296875" style="1" bestFit="1" customWidth="1"/>
    <col min="46" max="46" width="6.453125" style="1" bestFit="1" customWidth="1"/>
    <col min="47" max="47" width="12.453125" style="1" bestFit="1" customWidth="1"/>
    <col min="48" max="48" width="6" style="1" bestFit="1" customWidth="1"/>
    <col min="49" max="49" width="6.453125" style="1" bestFit="1" customWidth="1"/>
    <col min="50" max="50" width="12.453125" style="1" bestFit="1" customWidth="1"/>
    <col min="51" max="51" width="6" style="1" bestFit="1" customWidth="1"/>
    <col min="52" max="52" width="6.453125" style="1" bestFit="1" customWidth="1"/>
    <col min="53" max="53" width="12.453125" style="1" bestFit="1" customWidth="1"/>
    <col min="54" max="54" width="6" style="1" bestFit="1" customWidth="1"/>
    <col min="55" max="55" width="6.453125" style="1" bestFit="1" customWidth="1"/>
    <col min="56" max="56" width="12.453125" style="1" bestFit="1" customWidth="1"/>
    <col min="57" max="57" width="6" style="1" bestFit="1" customWidth="1"/>
    <col min="58" max="58" width="6.453125" style="1" bestFit="1" customWidth="1"/>
    <col min="59" max="59" width="12.453125" style="1" bestFit="1" customWidth="1"/>
    <col min="60" max="60" width="6" style="1" bestFit="1" customWidth="1"/>
    <col min="61" max="61" width="6.453125" style="1" bestFit="1" customWidth="1"/>
    <col min="62" max="62" width="12.453125" style="1" bestFit="1" customWidth="1"/>
    <col min="63" max="63" width="6" style="1" bestFit="1" customWidth="1"/>
    <col min="64" max="64" width="6.453125" style="1" bestFit="1" customWidth="1"/>
    <col min="65" max="65" width="12.453125" style="1" bestFit="1" customWidth="1"/>
    <col min="66" max="66" width="6" style="1" bestFit="1" customWidth="1"/>
    <col min="67" max="67" width="6.453125" style="1" bestFit="1" customWidth="1"/>
    <col min="68" max="68" width="12.453125" style="1" bestFit="1" customWidth="1"/>
    <col min="69" max="70" width="6" style="1" bestFit="1" customWidth="1"/>
    <col min="71" max="71" width="12.453125" style="1" bestFit="1" customWidth="1"/>
    <col min="72" max="73" width="6" style="1" bestFit="1" customWidth="1"/>
    <col min="74" max="74" width="12.453125" style="1" bestFit="1" customWidth="1"/>
    <col min="75" max="75" width="6" style="1" bestFit="1" customWidth="1"/>
    <col min="76" max="76" width="5.54296875" style="1" bestFit="1" customWidth="1"/>
    <col min="77" max="77" width="12.453125" style="1" bestFit="1" customWidth="1"/>
    <col min="78" max="78" width="6" style="1" bestFit="1" customWidth="1"/>
    <col min="79" max="79" width="5.54296875" style="1" bestFit="1" customWidth="1"/>
    <col min="80" max="80" width="12.453125" style="1" bestFit="1" customWidth="1"/>
    <col min="81" max="81" width="6" style="1" bestFit="1" customWidth="1"/>
    <col min="82" max="82" width="5.54296875" style="1" bestFit="1" customWidth="1"/>
    <col min="83" max="83" width="12.453125" style="1" bestFit="1" customWidth="1"/>
    <col min="84" max="84" width="6" style="1" bestFit="1" customWidth="1"/>
    <col min="85" max="85" width="5.54296875" style="1" bestFit="1" customWidth="1"/>
    <col min="86" max="86" width="12.453125" style="1" bestFit="1" customWidth="1"/>
    <col min="87" max="87" width="6" style="1" bestFit="1" customWidth="1"/>
    <col min="88" max="88" width="5.7265625" style="1" bestFit="1" customWidth="1"/>
    <col min="89" max="89" width="12.453125" style="1" bestFit="1" customWidth="1"/>
    <col min="90" max="90" width="6" style="1" bestFit="1" customWidth="1"/>
    <col min="91" max="91" width="5.7265625" style="1" bestFit="1" customWidth="1"/>
    <col min="92" max="92" width="12.453125" style="1" bestFit="1" customWidth="1"/>
    <col min="93" max="93" width="6" style="1" bestFit="1" customWidth="1"/>
    <col min="94" max="94" width="5.54296875" style="1" bestFit="1" customWidth="1"/>
    <col min="95" max="95" width="12.453125" style="1" bestFit="1" customWidth="1"/>
    <col min="96" max="96" width="6" style="1" bestFit="1" customWidth="1"/>
    <col min="97" max="97" width="5.54296875" style="1" bestFit="1" customWidth="1"/>
    <col min="98" max="98" width="12.453125" style="1" bestFit="1" customWidth="1"/>
    <col min="99" max="99" width="6" style="1" bestFit="1" customWidth="1"/>
    <col min="100" max="100" width="7.453125" style="1" bestFit="1" customWidth="1"/>
    <col min="101" max="101" width="10.453125" style="1" bestFit="1" customWidth="1"/>
    <col min="102" max="102" width="6" style="1" bestFit="1" customWidth="1"/>
    <col min="103" max="103" width="12.453125" style="1" bestFit="1" customWidth="1"/>
    <col min="104" max="16384" width="8.54296875" style="1"/>
  </cols>
  <sheetData>
    <row r="1" spans="1:103" x14ac:dyDescent="0.25">
      <c r="A1" s="113">
        <f ca="1">TODAY()-1</f>
        <v>46247</v>
      </c>
    </row>
    <row r="2" spans="1:103" x14ac:dyDescent="0.25">
      <c r="A2" s="232"/>
    </row>
    <row r="3" spans="1:103" ht="12" thickBot="1" x14ac:dyDescent="0.3">
      <c r="D3" s="66" t="s">
        <v>248</v>
      </c>
      <c r="E3" s="66"/>
      <c r="F3" s="66"/>
      <c r="G3" s="324">
        <v>46235</v>
      </c>
      <c r="H3" s="325"/>
      <c r="I3" s="326"/>
      <c r="J3" s="324">
        <v>46236</v>
      </c>
      <c r="K3" s="325"/>
      <c r="L3" s="326"/>
      <c r="M3" s="324">
        <v>46237</v>
      </c>
      <c r="N3" s="325"/>
      <c r="O3" s="326"/>
      <c r="P3" s="324">
        <v>46238</v>
      </c>
      <c r="Q3" s="325"/>
      <c r="R3" s="326"/>
      <c r="S3" s="324">
        <v>46239</v>
      </c>
      <c r="T3" s="325"/>
      <c r="U3" s="326"/>
      <c r="V3" s="324">
        <v>46240</v>
      </c>
      <c r="W3" s="325"/>
      <c r="X3" s="326"/>
      <c r="Y3" s="324">
        <v>46241</v>
      </c>
      <c r="Z3" s="325"/>
      <c r="AA3" s="326"/>
      <c r="AB3" s="324">
        <v>46242</v>
      </c>
      <c r="AC3" s="325"/>
      <c r="AD3" s="326"/>
      <c r="AE3" s="324">
        <v>46243</v>
      </c>
      <c r="AF3" s="325"/>
      <c r="AG3" s="326"/>
      <c r="AH3" s="324">
        <v>46244</v>
      </c>
      <c r="AI3" s="325"/>
      <c r="AJ3" s="326"/>
      <c r="AK3" s="324">
        <v>46245</v>
      </c>
      <c r="AL3" s="325"/>
      <c r="AM3" s="326"/>
      <c r="AN3" s="324">
        <v>46246</v>
      </c>
      <c r="AO3" s="325"/>
      <c r="AP3" s="326"/>
      <c r="AQ3" s="324">
        <v>46247</v>
      </c>
      <c r="AR3" s="325"/>
      <c r="AS3" s="326"/>
      <c r="AT3" s="324">
        <v>46248</v>
      </c>
      <c r="AU3" s="325"/>
      <c r="AV3" s="326"/>
      <c r="AW3" s="324">
        <v>46249</v>
      </c>
      <c r="AX3" s="325"/>
      <c r="AY3" s="326"/>
      <c r="AZ3" s="324">
        <v>46250</v>
      </c>
      <c r="BA3" s="325"/>
      <c r="BB3" s="326"/>
      <c r="BC3" s="324">
        <v>46251</v>
      </c>
      <c r="BD3" s="325"/>
      <c r="BE3" s="326"/>
      <c r="BF3" s="324">
        <v>46252</v>
      </c>
      <c r="BG3" s="325"/>
      <c r="BH3" s="326"/>
      <c r="BI3" s="324">
        <v>46253</v>
      </c>
      <c r="BJ3" s="325"/>
      <c r="BK3" s="326"/>
      <c r="BL3" s="324">
        <v>46254</v>
      </c>
      <c r="BM3" s="325"/>
      <c r="BN3" s="326"/>
      <c r="BO3" s="324">
        <v>46255</v>
      </c>
      <c r="BP3" s="325"/>
      <c r="BQ3" s="326"/>
      <c r="BR3" s="324">
        <v>46256</v>
      </c>
      <c r="BS3" s="325"/>
      <c r="BT3" s="326"/>
      <c r="BU3" s="324">
        <v>46257</v>
      </c>
      <c r="BV3" s="325"/>
      <c r="BW3" s="326"/>
      <c r="BX3" s="324">
        <v>46258</v>
      </c>
      <c r="BY3" s="325"/>
      <c r="BZ3" s="326"/>
      <c r="CA3" s="324">
        <v>46259</v>
      </c>
      <c r="CB3" s="325"/>
      <c r="CC3" s="326"/>
      <c r="CD3" s="324">
        <v>46260</v>
      </c>
      <c r="CE3" s="325"/>
      <c r="CF3" s="326"/>
      <c r="CG3" s="324">
        <v>46261</v>
      </c>
      <c r="CH3" s="325"/>
      <c r="CI3" s="326"/>
      <c r="CJ3" s="324">
        <v>46262</v>
      </c>
      <c r="CK3" s="325"/>
      <c r="CL3" s="326"/>
      <c r="CM3" s="324">
        <v>46263</v>
      </c>
      <c r="CN3" s="325"/>
      <c r="CO3" s="326"/>
      <c r="CP3" s="324">
        <v>46264</v>
      </c>
      <c r="CQ3" s="325"/>
      <c r="CR3" s="326"/>
      <c r="CS3" s="324">
        <v>46265</v>
      </c>
      <c r="CT3" s="325"/>
      <c r="CU3" s="326"/>
      <c r="CV3" s="16" t="s">
        <v>8</v>
      </c>
      <c r="CW3" s="17"/>
      <c r="CX3" s="18"/>
    </row>
    <row r="4" spans="1:103" ht="12" thickBot="1" x14ac:dyDescent="0.3">
      <c r="A4" s="33"/>
      <c r="B4" s="14" t="s">
        <v>35</v>
      </c>
      <c r="C4" s="15" t="s">
        <v>36</v>
      </c>
      <c r="D4" s="67" t="s">
        <v>37</v>
      </c>
      <c r="E4" s="67" t="s">
        <v>38</v>
      </c>
      <c r="F4" s="67" t="s">
        <v>39</v>
      </c>
      <c r="G4" s="24" t="s">
        <v>37</v>
      </c>
      <c r="H4" s="24" t="s">
        <v>38</v>
      </c>
      <c r="I4" s="24" t="s">
        <v>39</v>
      </c>
      <c r="J4" s="24" t="s">
        <v>37</v>
      </c>
      <c r="K4" s="24" t="s">
        <v>38</v>
      </c>
      <c r="L4" s="24" t="s">
        <v>39</v>
      </c>
      <c r="M4" s="24" t="s">
        <v>37</v>
      </c>
      <c r="N4" s="24" t="s">
        <v>38</v>
      </c>
      <c r="O4" s="24" t="s">
        <v>39</v>
      </c>
      <c r="P4" s="24" t="s">
        <v>37</v>
      </c>
      <c r="Q4" s="24" t="s">
        <v>38</v>
      </c>
      <c r="R4" s="24" t="s">
        <v>39</v>
      </c>
      <c r="S4" s="24" t="s">
        <v>37</v>
      </c>
      <c r="T4" s="24" t="s">
        <v>38</v>
      </c>
      <c r="U4" s="24" t="s">
        <v>39</v>
      </c>
      <c r="V4" s="24" t="s">
        <v>37</v>
      </c>
      <c r="W4" s="24" t="s">
        <v>38</v>
      </c>
      <c r="X4" s="24" t="s">
        <v>39</v>
      </c>
      <c r="Y4" s="24" t="s">
        <v>37</v>
      </c>
      <c r="Z4" s="24" t="s">
        <v>38</v>
      </c>
      <c r="AA4" s="24" t="s">
        <v>39</v>
      </c>
      <c r="AB4" s="24" t="s">
        <v>37</v>
      </c>
      <c r="AC4" s="24" t="s">
        <v>38</v>
      </c>
      <c r="AD4" s="24" t="s">
        <v>39</v>
      </c>
      <c r="AE4" s="24" t="s">
        <v>37</v>
      </c>
      <c r="AF4" s="24" t="s">
        <v>38</v>
      </c>
      <c r="AG4" s="24" t="s">
        <v>39</v>
      </c>
      <c r="AH4" s="24" t="s">
        <v>37</v>
      </c>
      <c r="AI4" s="24" t="s">
        <v>38</v>
      </c>
      <c r="AJ4" s="24" t="s">
        <v>39</v>
      </c>
      <c r="AK4" s="24" t="s">
        <v>37</v>
      </c>
      <c r="AL4" s="24" t="s">
        <v>38</v>
      </c>
      <c r="AM4" s="24" t="s">
        <v>39</v>
      </c>
      <c r="AN4" s="24" t="s">
        <v>37</v>
      </c>
      <c r="AO4" s="24" t="s">
        <v>38</v>
      </c>
      <c r="AP4" s="24" t="s">
        <v>39</v>
      </c>
      <c r="AQ4" s="24" t="s">
        <v>37</v>
      </c>
      <c r="AR4" s="24" t="s">
        <v>38</v>
      </c>
      <c r="AS4" s="24" t="s">
        <v>39</v>
      </c>
      <c r="AT4" s="24" t="s">
        <v>37</v>
      </c>
      <c r="AU4" s="24" t="s">
        <v>38</v>
      </c>
      <c r="AV4" s="24" t="s">
        <v>39</v>
      </c>
      <c r="AW4" s="24" t="s">
        <v>37</v>
      </c>
      <c r="AX4" s="24" t="s">
        <v>38</v>
      </c>
      <c r="AY4" s="24" t="s">
        <v>39</v>
      </c>
      <c r="AZ4" s="24" t="s">
        <v>37</v>
      </c>
      <c r="BA4" s="24" t="s">
        <v>38</v>
      </c>
      <c r="BB4" s="24" t="s">
        <v>39</v>
      </c>
      <c r="BC4" s="24" t="s">
        <v>37</v>
      </c>
      <c r="BD4" s="24" t="s">
        <v>38</v>
      </c>
      <c r="BE4" s="24" t="s">
        <v>39</v>
      </c>
      <c r="BF4" s="24" t="s">
        <v>37</v>
      </c>
      <c r="BG4" s="24" t="s">
        <v>38</v>
      </c>
      <c r="BH4" s="24" t="s">
        <v>39</v>
      </c>
      <c r="BI4" s="24" t="s">
        <v>37</v>
      </c>
      <c r="BJ4" s="24" t="s">
        <v>38</v>
      </c>
      <c r="BK4" s="24" t="s">
        <v>39</v>
      </c>
      <c r="BL4" s="24" t="s">
        <v>37</v>
      </c>
      <c r="BM4" s="24" t="s">
        <v>38</v>
      </c>
      <c r="BN4" s="24" t="s">
        <v>39</v>
      </c>
      <c r="BO4" s="24" t="s">
        <v>37</v>
      </c>
      <c r="BP4" s="24" t="s">
        <v>38</v>
      </c>
      <c r="BQ4" s="24" t="s">
        <v>39</v>
      </c>
      <c r="BR4" s="24" t="s">
        <v>37</v>
      </c>
      <c r="BS4" s="24" t="s">
        <v>38</v>
      </c>
      <c r="BT4" s="24" t="s">
        <v>39</v>
      </c>
      <c r="BU4" s="24" t="s">
        <v>37</v>
      </c>
      <c r="BV4" s="24" t="s">
        <v>38</v>
      </c>
      <c r="BW4" s="24" t="s">
        <v>39</v>
      </c>
      <c r="BX4" s="24" t="s">
        <v>37</v>
      </c>
      <c r="BY4" s="24" t="s">
        <v>38</v>
      </c>
      <c r="BZ4" s="24" t="s">
        <v>39</v>
      </c>
      <c r="CA4" s="24" t="s">
        <v>37</v>
      </c>
      <c r="CB4" s="24" t="s">
        <v>38</v>
      </c>
      <c r="CC4" s="24" t="s">
        <v>39</v>
      </c>
      <c r="CD4" s="24" t="s">
        <v>37</v>
      </c>
      <c r="CE4" s="24" t="s">
        <v>38</v>
      </c>
      <c r="CF4" s="24" t="s">
        <v>39</v>
      </c>
      <c r="CG4" s="24" t="s">
        <v>37</v>
      </c>
      <c r="CH4" s="24" t="s">
        <v>38</v>
      </c>
      <c r="CI4" s="24" t="s">
        <v>39</v>
      </c>
      <c r="CJ4" s="24" t="s">
        <v>37</v>
      </c>
      <c r="CK4" s="24" t="s">
        <v>38</v>
      </c>
      <c r="CL4" s="24" t="s">
        <v>39</v>
      </c>
      <c r="CM4" s="24" t="s">
        <v>37</v>
      </c>
      <c r="CN4" s="24" t="s">
        <v>38</v>
      </c>
      <c r="CO4" s="24" t="s">
        <v>39</v>
      </c>
      <c r="CP4" s="24" t="s">
        <v>37</v>
      </c>
      <c r="CQ4" s="24" t="s">
        <v>38</v>
      </c>
      <c r="CR4" s="24" t="s">
        <v>39</v>
      </c>
      <c r="CS4" s="24" t="s">
        <v>37</v>
      </c>
      <c r="CT4" s="24" t="s">
        <v>38</v>
      </c>
      <c r="CU4" s="24" t="s">
        <v>39</v>
      </c>
      <c r="CV4" s="24" t="s">
        <v>37</v>
      </c>
      <c r="CW4" s="24" t="s">
        <v>38</v>
      </c>
      <c r="CX4" s="24" t="s">
        <v>39</v>
      </c>
      <c r="CY4" s="1" t="s">
        <v>40</v>
      </c>
    </row>
    <row r="5" spans="1:103" x14ac:dyDescent="0.25">
      <c r="A5" s="34" t="s">
        <v>24</v>
      </c>
      <c r="B5" s="38" t="s">
        <v>25</v>
      </c>
      <c r="C5" s="39"/>
      <c r="D5" s="43">
        <v>98.45</v>
      </c>
      <c r="E5" s="42">
        <v>750</v>
      </c>
      <c r="F5" s="40">
        <v>132</v>
      </c>
      <c r="G5" s="188">
        <v>95.8</v>
      </c>
      <c r="H5" s="42">
        <f>21367/1000</f>
        <v>21.367000000000001</v>
      </c>
      <c r="I5" s="42">
        <v>4</v>
      </c>
      <c r="J5" s="185">
        <v>99.44</v>
      </c>
      <c r="K5" s="42">
        <f>8853/1000</f>
        <v>8.8529999999999998</v>
      </c>
      <c r="L5" s="42">
        <v>2</v>
      </c>
      <c r="M5" s="188">
        <v>98.18</v>
      </c>
      <c r="N5" s="42">
        <f>34982/1000</f>
        <v>34.981999999999999</v>
      </c>
      <c r="O5" s="42">
        <v>7</v>
      </c>
      <c r="P5" s="185">
        <v>98.73</v>
      </c>
      <c r="Q5" s="42">
        <f>31273/1000</f>
        <v>31.273</v>
      </c>
      <c r="R5" s="42">
        <v>7</v>
      </c>
      <c r="S5" s="185">
        <v>98.64</v>
      </c>
      <c r="T5" s="42">
        <f>27283/1000</f>
        <v>27.283000000000001</v>
      </c>
      <c r="U5" s="42">
        <v>3</v>
      </c>
      <c r="V5" s="185">
        <v>98.76</v>
      </c>
      <c r="W5" s="42">
        <f>63511/1000</f>
        <v>63.511000000000003</v>
      </c>
      <c r="X5" s="42">
        <v>9</v>
      </c>
      <c r="Y5" s="185">
        <v>98.59</v>
      </c>
      <c r="Z5" s="42">
        <f>11733/1000</f>
        <v>11.733000000000001</v>
      </c>
      <c r="AA5" s="42">
        <v>2</v>
      </c>
      <c r="AB5" s="185">
        <v>98.58</v>
      </c>
      <c r="AC5" s="42">
        <f>12655/1000</f>
        <v>12.654999999999999</v>
      </c>
      <c r="AD5" s="42">
        <v>1</v>
      </c>
      <c r="AE5" s="185">
        <v>98.93</v>
      </c>
      <c r="AF5" s="42">
        <f>11240/1000</f>
        <v>11.24</v>
      </c>
      <c r="AG5" s="42">
        <v>3</v>
      </c>
      <c r="AH5" s="189">
        <v>96.88</v>
      </c>
      <c r="AI5" s="42">
        <f>10361/1000</f>
        <v>10.361000000000001</v>
      </c>
      <c r="AJ5" s="42">
        <v>4</v>
      </c>
      <c r="AK5" s="160">
        <v>98.57</v>
      </c>
      <c r="AL5" s="42">
        <f>51765/1000</f>
        <v>51.765000000000001</v>
      </c>
      <c r="AM5" s="42">
        <v>9</v>
      </c>
      <c r="AN5" s="259"/>
      <c r="AO5" s="42">
        <v>0</v>
      </c>
      <c r="AP5" s="42">
        <v>0</v>
      </c>
      <c r="AQ5" s="160"/>
      <c r="AR5" s="42"/>
      <c r="AS5" s="42"/>
      <c r="AT5" s="160"/>
      <c r="AU5" s="42"/>
      <c r="AV5" s="42"/>
      <c r="AW5" s="160"/>
      <c r="AX5" s="42"/>
      <c r="AY5" s="42"/>
      <c r="AZ5" s="160"/>
      <c r="BA5" s="42"/>
      <c r="BB5" s="42"/>
      <c r="BC5" s="160"/>
      <c r="BD5" s="155"/>
      <c r="BE5" s="155"/>
      <c r="BF5" s="160"/>
      <c r="BG5" s="155"/>
      <c r="BH5" s="155"/>
      <c r="BI5" s="160"/>
      <c r="BJ5" s="155"/>
      <c r="BK5" s="155"/>
      <c r="BL5" s="160"/>
      <c r="BM5" s="42"/>
      <c r="BN5" s="42"/>
      <c r="BO5" s="160"/>
      <c r="BP5" s="42"/>
      <c r="BQ5" s="42"/>
      <c r="BR5" s="160"/>
      <c r="BS5" s="42"/>
      <c r="BT5" s="42"/>
      <c r="BU5" s="160"/>
      <c r="BV5" s="42"/>
      <c r="BW5" s="42"/>
      <c r="BX5" s="160"/>
      <c r="BY5" s="42"/>
      <c r="BZ5" s="42"/>
      <c r="CA5" s="160"/>
      <c r="CB5" s="42"/>
      <c r="CC5" s="42"/>
      <c r="CD5" s="160"/>
      <c r="CE5" s="42"/>
      <c r="CF5" s="42"/>
      <c r="CG5" s="160"/>
      <c r="CH5" s="42"/>
      <c r="CI5" s="42"/>
      <c r="CJ5" s="160"/>
      <c r="CK5" s="42"/>
      <c r="CL5" s="42"/>
      <c r="CM5" s="160"/>
      <c r="CN5" s="42"/>
      <c r="CO5" s="42"/>
      <c r="CP5" s="43"/>
      <c r="CQ5" s="42"/>
      <c r="CR5" s="42"/>
      <c r="CS5" s="43"/>
      <c r="CT5" s="42"/>
      <c r="CU5" s="42"/>
      <c r="CV5" s="43">
        <f>AVERAGE(G5,J5,M5,P5,S5,V5,Y5,AB5,AE5,AH5,AK5,AN5,AQ5,AT5,AW5,AZ5,BC5,BF5,BI5,BL5,BO5,BR5,BU5,BX5,CA5,CD5,CG5,CJ5,CM5,CP5,CS5)</f>
        <v>98.281818181818196</v>
      </c>
      <c r="CW5" s="22">
        <f>SUM(H5,K5,N5,Q5,T5,W5,Z5,AC5,AF5,AI5,AL5,AO5,AR5,AU5,AX5,BA5,BD5,BG5,BJ5,BM5,BP5,BS5,BV5,BY5,CB5,CE5,CH5,CK5,CN5,CQ5,CT5)</f>
        <v>285.02300000000002</v>
      </c>
      <c r="CX5" s="22">
        <f t="shared" ref="CX5:CX7" si="0">SUM(I5,L5,O5,R5,U5,X5,AA5,AD5,AG5,AJ5,AM5,AP5,AS5,AV5,AY5,BB5,BE5,BH5,BK5,BN5,BQ5,BT5,BW5,BZ5,CC5,CF5,CI5,CL5,CO5,CR5,CU5)</f>
        <v>51</v>
      </c>
      <c r="CY5" s="74">
        <f>CV5-D5</f>
        <v>-0.16818181818180733</v>
      </c>
    </row>
    <row r="6" spans="1:103" x14ac:dyDescent="0.25">
      <c r="A6" s="35" t="s">
        <v>246</v>
      </c>
      <c r="B6" s="41" t="s">
        <v>26</v>
      </c>
      <c r="C6" s="37"/>
      <c r="D6" s="44">
        <v>99.1</v>
      </c>
      <c r="E6" s="10">
        <v>1600</v>
      </c>
      <c r="F6" s="9">
        <v>121</v>
      </c>
      <c r="G6" s="186">
        <v>99.42</v>
      </c>
      <c r="H6" s="10">
        <f>30000/1000</f>
        <v>30</v>
      </c>
      <c r="I6" s="10">
        <v>3</v>
      </c>
      <c r="J6" s="186">
        <v>99.36</v>
      </c>
      <c r="K6" s="10">
        <f>49000/1000</f>
        <v>49</v>
      </c>
      <c r="L6" s="10">
        <v>4</v>
      </c>
      <c r="M6" s="186">
        <v>99.01</v>
      </c>
      <c r="N6" s="10">
        <f>37500/1000</f>
        <v>37.5</v>
      </c>
      <c r="O6" s="10">
        <v>3</v>
      </c>
      <c r="P6" s="186">
        <v>99.3</v>
      </c>
      <c r="Q6" s="10">
        <f>74000/1000</f>
        <v>74</v>
      </c>
      <c r="R6" s="10">
        <v>6</v>
      </c>
      <c r="S6" s="234">
        <v>98.92</v>
      </c>
      <c r="T6" s="10">
        <f>36500/1000</f>
        <v>36.5</v>
      </c>
      <c r="U6" s="10">
        <v>3</v>
      </c>
      <c r="V6" s="186">
        <v>99.25</v>
      </c>
      <c r="W6" s="10">
        <f>77000/1000</f>
        <v>77</v>
      </c>
      <c r="X6" s="10">
        <v>6</v>
      </c>
      <c r="Y6" s="234">
        <v>99</v>
      </c>
      <c r="Z6" s="10">
        <f>54900/1000</f>
        <v>54.9</v>
      </c>
      <c r="AA6" s="10">
        <v>5</v>
      </c>
      <c r="AB6" s="234">
        <v>99.05</v>
      </c>
      <c r="AC6" s="10">
        <f>20500/1000</f>
        <v>20.5</v>
      </c>
      <c r="AD6" s="10">
        <v>2</v>
      </c>
      <c r="AE6" s="234">
        <v>98.99</v>
      </c>
      <c r="AF6" s="10">
        <f>36700/1000</f>
        <v>36.700000000000003</v>
      </c>
      <c r="AG6" s="10">
        <v>3</v>
      </c>
      <c r="AH6" s="184">
        <v>99.07</v>
      </c>
      <c r="AI6" s="10">
        <f>86200/1000</f>
        <v>86.2</v>
      </c>
      <c r="AJ6" s="10">
        <v>7</v>
      </c>
      <c r="AK6" s="114">
        <v>99.45</v>
      </c>
      <c r="AL6" s="10">
        <f>81500/1000</f>
        <v>81.5</v>
      </c>
      <c r="AM6" s="10">
        <v>5</v>
      </c>
      <c r="AN6" s="260"/>
      <c r="AO6" s="10">
        <v>0</v>
      </c>
      <c r="AP6" s="10">
        <v>0</v>
      </c>
      <c r="AQ6" s="114"/>
      <c r="AR6" s="10"/>
      <c r="AS6" s="10"/>
      <c r="AT6" s="114"/>
      <c r="AU6" s="10"/>
      <c r="AV6" s="10"/>
      <c r="AW6" s="114"/>
      <c r="AX6" s="10"/>
      <c r="AY6" s="10"/>
      <c r="AZ6" s="114"/>
      <c r="BA6" s="10"/>
      <c r="BB6" s="10"/>
      <c r="BC6" s="114"/>
      <c r="BD6" s="156"/>
      <c r="BE6" s="156"/>
      <c r="BF6" s="114"/>
      <c r="BG6" s="156"/>
      <c r="BH6" s="159"/>
      <c r="BI6" s="114"/>
      <c r="BJ6" s="156"/>
      <c r="BK6" s="156"/>
      <c r="BL6" s="114"/>
      <c r="BM6" s="10"/>
      <c r="BN6" s="10"/>
      <c r="BO6" s="114"/>
      <c r="BP6" s="10"/>
      <c r="BQ6" s="10"/>
      <c r="BR6" s="114"/>
      <c r="BS6" s="10"/>
      <c r="BT6" s="10"/>
      <c r="BU6" s="114"/>
      <c r="BV6" s="10"/>
      <c r="BW6" s="10"/>
      <c r="BX6" s="114"/>
      <c r="BY6" s="10"/>
      <c r="BZ6" s="10"/>
      <c r="CA6" s="114"/>
      <c r="CB6" s="10"/>
      <c r="CC6" s="10"/>
      <c r="CD6" s="114"/>
      <c r="CE6" s="10"/>
      <c r="CF6" s="10"/>
      <c r="CG6" s="114"/>
      <c r="CH6" s="10"/>
      <c r="CI6" s="10"/>
      <c r="CJ6" s="114"/>
      <c r="CK6" s="10"/>
      <c r="CL6" s="10"/>
      <c r="CM6" s="114"/>
      <c r="CN6" s="10"/>
      <c r="CO6" s="10"/>
      <c r="CP6" s="44"/>
      <c r="CQ6" s="10"/>
      <c r="CR6" s="10"/>
      <c r="CS6" s="44"/>
      <c r="CT6" s="10"/>
      <c r="CU6" s="10"/>
      <c r="CV6" s="44">
        <f>AVERAGE(G6,J6,M6,P6,S6,V6,Y6,AB6,AE6,AH6,AK6,AN6,AQ6,AT6,AW6,AZ6,BC6,BF6,BI6,BL6,BO6,BR6,BU6,BX6,CA6,CD6,CG6,CJ6,CM6,CP6,CS6)</f>
        <v>99.165454545454537</v>
      </c>
      <c r="CW6" s="22">
        <f t="shared" ref="CW6:CW7" si="1">SUM(H6,K6,N6,Q6,T6,W6,Z6,AC6,AF6,AI6,AL6,AO6,AR6,AU6,AX6,BA6,BD6,BG6,BJ6,BM6,BP6,BS6,BV6,BY6,CB6,CE6,CH6,CK6,CN6,CQ6,CT6)</f>
        <v>583.79999999999995</v>
      </c>
      <c r="CX6" s="22">
        <f t="shared" si="0"/>
        <v>47</v>
      </c>
      <c r="CY6" s="74">
        <f t="shared" ref="CY6:CY8" si="2">CV6-D6</f>
        <v>6.5454545454542767E-2</v>
      </c>
    </row>
    <row r="7" spans="1:103" ht="12" thickBot="1" x14ac:dyDescent="0.3">
      <c r="A7" s="35"/>
      <c r="B7" s="83" t="s">
        <v>27</v>
      </c>
      <c r="C7" s="79"/>
      <c r="D7" s="81">
        <v>99.2</v>
      </c>
      <c r="E7" s="20">
        <v>1200</v>
      </c>
      <c r="F7" s="4">
        <v>91</v>
      </c>
      <c r="G7" s="187">
        <v>99.59</v>
      </c>
      <c r="H7" s="20">
        <f>59067/1000</f>
        <v>59.067</v>
      </c>
      <c r="I7" s="20">
        <v>4</v>
      </c>
      <c r="J7" s="187">
        <v>99.63</v>
      </c>
      <c r="K7" s="20">
        <f>17000/1000</f>
        <v>17</v>
      </c>
      <c r="L7" s="20">
        <v>1</v>
      </c>
      <c r="M7" s="235"/>
      <c r="N7" s="20">
        <v>0</v>
      </c>
      <c r="O7" s="20">
        <v>0</v>
      </c>
      <c r="P7" s="187">
        <v>99.71</v>
      </c>
      <c r="Q7" s="20">
        <f>9000/1000</f>
        <v>9</v>
      </c>
      <c r="R7" s="20">
        <v>1</v>
      </c>
      <c r="S7" s="187">
        <v>99.54</v>
      </c>
      <c r="T7" s="20">
        <f>106879/1000</f>
        <v>106.879</v>
      </c>
      <c r="U7" s="20">
        <v>8</v>
      </c>
      <c r="V7" s="187">
        <v>99.46</v>
      </c>
      <c r="W7" s="20">
        <f>80198/1000</f>
        <v>80.197999999999993</v>
      </c>
      <c r="X7" s="20">
        <v>7</v>
      </c>
      <c r="Y7" s="187">
        <v>99.55</v>
      </c>
      <c r="Z7" s="20">
        <f>31729/1000</f>
        <v>31.728999999999999</v>
      </c>
      <c r="AA7" s="20">
        <v>2</v>
      </c>
      <c r="AB7" s="187">
        <v>99.7</v>
      </c>
      <c r="AC7" s="20">
        <f>9063/1000</f>
        <v>9.0630000000000006</v>
      </c>
      <c r="AD7" s="20">
        <v>1</v>
      </c>
      <c r="AE7" s="187">
        <v>99.73</v>
      </c>
      <c r="AF7" s="20">
        <f>19000/1000</f>
        <v>19</v>
      </c>
      <c r="AG7" s="20">
        <v>1</v>
      </c>
      <c r="AH7" s="115">
        <v>99.5</v>
      </c>
      <c r="AI7" s="20">
        <f>35114/1000</f>
        <v>35.113999999999997</v>
      </c>
      <c r="AJ7" s="20">
        <v>3</v>
      </c>
      <c r="AK7" s="115">
        <v>99.57</v>
      </c>
      <c r="AL7" s="20">
        <f>38000/1000</f>
        <v>38</v>
      </c>
      <c r="AM7" s="20">
        <v>2</v>
      </c>
      <c r="AN7" s="157"/>
      <c r="AO7" s="20">
        <v>0</v>
      </c>
      <c r="AP7" s="20">
        <v>0</v>
      </c>
      <c r="AQ7" s="115"/>
      <c r="AR7" s="20"/>
      <c r="AS7" s="20"/>
      <c r="AT7" s="115"/>
      <c r="AU7" s="20"/>
      <c r="AV7" s="20"/>
      <c r="AW7" s="115"/>
      <c r="AX7" s="20"/>
      <c r="AY7" s="20"/>
      <c r="AZ7" s="115"/>
      <c r="BA7" s="20"/>
      <c r="BB7" s="20"/>
      <c r="BC7" s="157"/>
      <c r="BD7" s="158"/>
      <c r="BE7" s="158"/>
      <c r="BF7" s="157"/>
      <c r="BG7" s="158"/>
      <c r="BH7" s="158"/>
      <c r="BI7" s="115"/>
      <c r="BJ7" s="158"/>
      <c r="BK7" s="158"/>
      <c r="BL7" s="115"/>
      <c r="BM7" s="20"/>
      <c r="BN7" s="20"/>
      <c r="BO7" s="115"/>
      <c r="BP7" s="20"/>
      <c r="BQ7" s="20"/>
      <c r="BR7" s="115"/>
      <c r="BS7" s="20"/>
      <c r="BT7" s="20"/>
      <c r="BU7" s="115"/>
      <c r="BV7" s="20"/>
      <c r="BW7" s="20"/>
      <c r="BX7" s="115"/>
      <c r="BY7" s="20"/>
      <c r="BZ7" s="20"/>
      <c r="CA7" s="115"/>
      <c r="CB7" s="20"/>
      <c r="CC7" s="20"/>
      <c r="CD7" s="115"/>
      <c r="CE7" s="20"/>
      <c r="CF7" s="20"/>
      <c r="CG7" s="115"/>
      <c r="CH7" s="20"/>
      <c r="CI7" s="20"/>
      <c r="CJ7" s="81"/>
      <c r="CK7" s="20"/>
      <c r="CL7" s="20"/>
      <c r="CM7" s="115"/>
      <c r="CN7" s="20"/>
      <c r="CO7" s="20"/>
      <c r="CP7" s="81"/>
      <c r="CQ7" s="20"/>
      <c r="CR7" s="20"/>
      <c r="CS7" s="81"/>
      <c r="CT7" s="20"/>
      <c r="CU7" s="20"/>
      <c r="CV7" s="81">
        <f>AVERAGE(G7,J7,M7,P7,S7,V7,Y7,AB7,AE7,AH7,AK7,AN7,AQ7,AT7,AW7,AZ7,BC7,BF7,BI7,BL7,BO7,BR7,BU7,BX7,CA7,CD7,CG7,CJ7,CM7,CP7,CS7)</f>
        <v>99.597999999999999</v>
      </c>
      <c r="CW7" s="70">
        <f t="shared" si="1"/>
        <v>405.04999999999995</v>
      </c>
      <c r="CX7" s="70">
        <f t="shared" si="0"/>
        <v>30</v>
      </c>
      <c r="CY7" s="74">
        <f t="shared" si="2"/>
        <v>0.39799999999999613</v>
      </c>
    </row>
    <row r="8" spans="1:103" ht="12" thickBot="1" x14ac:dyDescent="0.3">
      <c r="A8" s="36"/>
      <c r="B8" s="84" t="s">
        <v>247</v>
      </c>
      <c r="C8" s="85"/>
      <c r="D8" s="82">
        <v>99</v>
      </c>
      <c r="E8" s="21">
        <f>SUM(E5:E7)</f>
        <v>3550</v>
      </c>
      <c r="F8" s="21">
        <f>SUM(F5:F7)</f>
        <v>344</v>
      </c>
      <c r="G8" s="26">
        <f>(G5*H5/H8)+(G6*H6/H8)+(G7*H7/H8)</f>
        <v>98.810521487947554</v>
      </c>
      <c r="H8" s="86">
        <f>SUM(H5:H7)</f>
        <v>110.434</v>
      </c>
      <c r="I8" s="86">
        <f>SUM(I5:I7)</f>
        <v>11</v>
      </c>
      <c r="J8" s="26">
        <f>(J5*K5/K8)+(J6*K6/K8)+(J7*K7/K8)</f>
        <v>99.430781932587877</v>
      </c>
      <c r="K8" s="86">
        <f>SUM(K5:K7)</f>
        <v>74.853000000000009</v>
      </c>
      <c r="L8" s="86">
        <f>SUM(L5:L7)</f>
        <v>7</v>
      </c>
      <c r="M8" s="26">
        <f>(M5*N5/N8)+(M6*N6/N8)+(M7*N7/N8)</f>
        <v>98.609416958693203</v>
      </c>
      <c r="N8" s="86">
        <f>SUM(N5:N7)</f>
        <v>72.481999999999999</v>
      </c>
      <c r="O8" s="86">
        <f>SUM(O5:O7)</f>
        <v>10</v>
      </c>
      <c r="P8" s="26">
        <f>(P5*Q5/Q8)+(P6*Q6/Q8)+(P7*Q7/Q8)</f>
        <v>99.176299650836171</v>
      </c>
      <c r="Q8" s="86">
        <f>SUM(Q5:Q7)</f>
        <v>114.273</v>
      </c>
      <c r="R8" s="86">
        <f>SUM(R5:R7)</f>
        <v>14</v>
      </c>
      <c r="S8" s="26">
        <f>(S5*T5/T8)+(S6*T6/T8)+(S7*T7/T8)</f>
        <v>99.263519588426249</v>
      </c>
      <c r="T8" s="86">
        <f>SUM(T5:T7)</f>
        <v>170.66200000000001</v>
      </c>
      <c r="U8" s="86">
        <f>SUM(U5:U7)</f>
        <v>14</v>
      </c>
      <c r="V8" s="26">
        <f>(V5*W5/W8)+(V6*W6/W8)+(V7*W7/W8)</f>
        <v>99.185304813124958</v>
      </c>
      <c r="W8" s="86">
        <f>SUM(W5:W7)</f>
        <v>220.709</v>
      </c>
      <c r="X8" s="86">
        <f>SUM(X5:X7)</f>
        <v>22</v>
      </c>
      <c r="Y8" s="26">
        <f>(Y5*Z5/Z8)+(Y6*Z6/Z8)+(Y7*Z7/Z8)</f>
        <v>99.128509180374536</v>
      </c>
      <c r="Z8" s="86">
        <f>SUM(Z5:Z7)</f>
        <v>98.361999999999995</v>
      </c>
      <c r="AA8" s="86">
        <f>SUM(AA5:AA7)</f>
        <v>9</v>
      </c>
      <c r="AB8" s="26">
        <f>(AB5*AC5/AC8)+(AB6*AC6/AC8)+(AB7*AC7/AC8)</f>
        <v>99.048652233644418</v>
      </c>
      <c r="AC8" s="86">
        <f>SUM(AC5:AC7)</f>
        <v>42.218000000000004</v>
      </c>
      <c r="AD8" s="86">
        <f>SUM(AD5:AD7)</f>
        <v>4</v>
      </c>
      <c r="AE8" s="26">
        <f>(AE5*AF5/AF8)+(AE6*AF6/AF8)+(AE7*AF7/AF8)</f>
        <v>99.189964146997312</v>
      </c>
      <c r="AF8" s="86">
        <f t="shared" ref="AF8:AG8" si="3">SUM(AF5:AF7)</f>
        <v>66.94</v>
      </c>
      <c r="AG8" s="86">
        <f t="shared" si="3"/>
        <v>7</v>
      </c>
      <c r="AH8" s="26">
        <f>(AH5*AI5/AI8)+(AH6*AI6/AI8)+(AH7*AI7/AI8)</f>
        <v>99.012346155306616</v>
      </c>
      <c r="AI8" s="21">
        <f t="shared" ref="AI8:AJ8" si="4">SUM(AI5:AI7)</f>
        <v>131.67500000000001</v>
      </c>
      <c r="AJ8" s="21">
        <f t="shared" si="4"/>
        <v>14</v>
      </c>
      <c r="AK8" s="87">
        <f>(AK5*AL5/AL8)+(AK6*AL6/AL8)+(AK7*AL7/AL8)</f>
        <v>99.210644615070208</v>
      </c>
      <c r="AL8" s="21">
        <f t="shared" ref="AL8:AM8" si="5">SUM(AL5:AL7)</f>
        <v>171.26499999999999</v>
      </c>
      <c r="AM8" s="21">
        <f t="shared" si="5"/>
        <v>16</v>
      </c>
      <c r="AN8" s="87" t="e">
        <f>(AN5*AO5/AO8)+(AN6*AO6/AO8)+(AN7*AO7/AO8)</f>
        <v>#DIV/0!</v>
      </c>
      <c r="AO8" s="21">
        <f t="shared" ref="AO8:AP8" si="6">SUM(AO5:AO7)</f>
        <v>0</v>
      </c>
      <c r="AP8" s="21">
        <f t="shared" si="6"/>
        <v>0</v>
      </c>
      <c r="AQ8" s="87">
        <f>(AQ5*AR5/AR8)+(AQ6*AR6/AR8)+(AQ7*AR7/AR8)</f>
        <v>0</v>
      </c>
      <c r="AR8" s="86">
        <v>181.08799999999999</v>
      </c>
      <c r="AS8" s="86">
        <v>21</v>
      </c>
      <c r="AT8" s="87" t="e">
        <f>(AT5*AU5/AU8)+(AT6*AU6/AU8)+(AT7*AU7/AU8)</f>
        <v>#DIV/0!</v>
      </c>
      <c r="AU8" s="86">
        <f>SUM(AU5:AU7)</f>
        <v>0</v>
      </c>
      <c r="AV8" s="86">
        <f>SUM(AV5:AV7)</f>
        <v>0</v>
      </c>
      <c r="AW8" s="87" t="e">
        <f>(AW5*AX5/AX8)+(AW6*AX6/AX8)+(AW7*AX7/AX8)</f>
        <v>#DIV/0!</v>
      </c>
      <c r="AX8" s="86">
        <f>SUM(AX5:AX7)</f>
        <v>0</v>
      </c>
      <c r="AY8" s="86">
        <f>SUM(AY5:AY7)</f>
        <v>0</v>
      </c>
      <c r="AZ8" s="87" t="e">
        <f>(AZ5*BA5/BA8)+(AZ6*BA6/BA8)+(AZ7*BA7/BA8)</f>
        <v>#DIV/0!</v>
      </c>
      <c r="BA8" s="86">
        <f>SUM(BA5:BA7)</f>
        <v>0</v>
      </c>
      <c r="BB8" s="86">
        <f>SUM(BB5:BB7)</f>
        <v>0</v>
      </c>
      <c r="BC8" s="87" t="e">
        <f>(BC5*BD5/BD8)+(BC6*BD6/BD8)+(BC7*BD7/BD8)</f>
        <v>#DIV/0!</v>
      </c>
      <c r="BD8" s="86">
        <f>SUM(BD5:BD7)</f>
        <v>0</v>
      </c>
      <c r="BE8" s="86">
        <f>SUM(BE5:BE7)</f>
        <v>0</v>
      </c>
      <c r="BF8" s="87" t="e">
        <f>(BF5*BG5/BG8)+(BF6*BG6/BG8)+(BF7*BG7/BG8)</f>
        <v>#DIV/0!</v>
      </c>
      <c r="BG8" s="86">
        <f>SUM(BG5:BG7)</f>
        <v>0</v>
      </c>
      <c r="BH8" s="86">
        <f>SUM(BH5:BH7)</f>
        <v>0</v>
      </c>
      <c r="BI8" s="87" t="e">
        <f>(BI5*BJ5/BJ8)+(BI6*BJ6/BJ8)+(BI7*BJ7/BJ8)</f>
        <v>#DIV/0!</v>
      </c>
      <c r="BJ8" s="86">
        <f>SUM(BJ5:BJ7)</f>
        <v>0</v>
      </c>
      <c r="BK8" s="86">
        <f>SUM(BK5:BK7)</f>
        <v>0</v>
      </c>
      <c r="BL8" s="87" t="e">
        <f>(BL5*BM5/BM8)+(BL6*BM6/BM8)+(BL7*BM7/BM8)</f>
        <v>#DIV/0!</v>
      </c>
      <c r="BM8" s="86">
        <f>SUM(BM5:BM7)</f>
        <v>0</v>
      </c>
      <c r="BN8" s="86">
        <f>SUM(BN5:BN7)</f>
        <v>0</v>
      </c>
      <c r="BO8" s="87" t="e">
        <f>(BO5*BP5/BP8)+(BO6*BP6/BP8)+(BO7*BP7/BP8)</f>
        <v>#DIV/0!</v>
      </c>
      <c r="BP8" s="86">
        <f>SUM(BP5:BP7)</f>
        <v>0</v>
      </c>
      <c r="BQ8" s="86">
        <f>SUM(BQ5:BQ7)</f>
        <v>0</v>
      </c>
      <c r="BR8" s="87" t="e">
        <f>(BR5*BS5/BS8)+(BR6*BS6/BS8)+(BR7*BS7/BS8)</f>
        <v>#DIV/0!</v>
      </c>
      <c r="BS8" s="86">
        <f>SUM(BS5:BS7)</f>
        <v>0</v>
      </c>
      <c r="BT8" s="86">
        <f>SUM(BT5:BT7)</f>
        <v>0</v>
      </c>
      <c r="BU8" s="87" t="e">
        <f>(BU5*BV5/BV8)+(BU6*BV6/BV8)+(BU7*BV7/BV8)</f>
        <v>#DIV/0!</v>
      </c>
      <c r="BV8" s="86">
        <f>SUM(BV5:BV7)</f>
        <v>0</v>
      </c>
      <c r="BW8" s="86">
        <f>SUM(BW5:BW7)</f>
        <v>0</v>
      </c>
      <c r="BX8" s="87"/>
      <c r="BY8" s="86"/>
      <c r="BZ8" s="86"/>
      <c r="CA8" s="87"/>
      <c r="CB8" s="86"/>
      <c r="CC8" s="86"/>
      <c r="CD8" s="87"/>
      <c r="CE8" s="86"/>
      <c r="CF8" s="86"/>
      <c r="CG8" s="87"/>
      <c r="CH8" s="86"/>
      <c r="CI8" s="86"/>
      <c r="CJ8" s="87"/>
      <c r="CK8" s="86"/>
      <c r="CL8" s="86"/>
      <c r="CM8" s="87"/>
      <c r="CN8" s="86"/>
      <c r="CO8" s="86"/>
      <c r="CP8" s="87"/>
      <c r="CQ8" s="86"/>
      <c r="CR8" s="86"/>
      <c r="CS8" s="87"/>
      <c r="CT8" s="86"/>
      <c r="CU8" s="86"/>
      <c r="CV8" s="87">
        <f>(CV5*CW5/CW8)+(CV6*CW6/CW8)+(CV7*CW7/CW8)</f>
        <v>99.105280453603086</v>
      </c>
      <c r="CW8" s="21">
        <f>SUM(CW5:CW7)</f>
        <v>1273.873</v>
      </c>
      <c r="CX8" s="21">
        <f>SUM(CX5:CX7)</f>
        <v>128</v>
      </c>
      <c r="CY8" s="75">
        <f t="shared" si="2"/>
        <v>0.10528045360308624</v>
      </c>
    </row>
    <row r="9" spans="1:103" x14ac:dyDescent="0.25">
      <c r="A9" s="232"/>
    </row>
    <row r="10" spans="1:103" x14ac:dyDescent="0.25">
      <c r="A10" s="232"/>
    </row>
    <row r="11" spans="1:103" x14ac:dyDescent="0.25">
      <c r="A11" s="239" t="s">
        <v>69</v>
      </c>
      <c r="B11" s="239" t="s">
        <v>70</v>
      </c>
      <c r="C11" s="239" t="s">
        <v>71</v>
      </c>
      <c r="D11" s="239" t="s">
        <v>249</v>
      </c>
      <c r="E11" s="239" t="s">
        <v>73</v>
      </c>
      <c r="F11" s="239" t="s">
        <v>74</v>
      </c>
    </row>
    <row r="12" spans="1:103" ht="34.5" x14ac:dyDescent="0.25">
      <c r="A12" s="329">
        <v>46244</v>
      </c>
      <c r="B12" s="332" t="s">
        <v>26</v>
      </c>
      <c r="C12" s="252" t="s">
        <v>250</v>
      </c>
      <c r="D12" s="252" t="s">
        <v>251</v>
      </c>
      <c r="E12" s="252" t="s">
        <v>252</v>
      </c>
      <c r="F12" s="252" t="s">
        <v>253</v>
      </c>
      <c r="G12" s="248"/>
      <c r="H12" s="248"/>
      <c r="I12" s="248"/>
      <c r="J12" s="248"/>
      <c r="K12" s="248"/>
      <c r="L12" s="248"/>
      <c r="M12" s="248"/>
      <c r="N12" s="248"/>
      <c r="O12" s="248"/>
      <c r="P12" s="248"/>
      <c r="Q12" s="248"/>
      <c r="R12" s="248"/>
      <c r="S12" s="248"/>
      <c r="T12" s="248"/>
      <c r="U12" s="248"/>
      <c r="V12" s="248"/>
      <c r="W12" s="248"/>
      <c r="X12" s="248"/>
      <c r="Y12" s="248"/>
      <c r="Z12" s="248"/>
      <c r="AA12" s="248"/>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248"/>
      <c r="AY12" s="248"/>
      <c r="AZ12" s="248"/>
      <c r="BA12" s="248"/>
      <c r="BB12" s="248"/>
      <c r="BC12" s="248"/>
      <c r="BD12" s="248"/>
      <c r="BE12" s="248"/>
      <c r="BF12" s="248"/>
      <c r="BG12" s="248"/>
      <c r="BH12" s="248"/>
      <c r="BI12" s="248"/>
      <c r="BJ12" s="248"/>
      <c r="BK12" s="248"/>
      <c r="BL12" s="248"/>
      <c r="BM12" s="248"/>
      <c r="BN12" s="248"/>
      <c r="BO12" s="248"/>
      <c r="BP12" s="248"/>
      <c r="BQ12" s="248"/>
      <c r="BR12" s="248"/>
      <c r="BS12" s="248"/>
      <c r="BT12" s="248"/>
      <c r="BU12" s="248"/>
      <c r="BV12" s="248"/>
      <c r="BW12" s="248"/>
      <c r="BX12" s="248"/>
      <c r="BY12" s="248"/>
      <c r="BZ12" s="248"/>
      <c r="CA12" s="248"/>
      <c r="CB12" s="248"/>
      <c r="CC12" s="248"/>
      <c r="CD12" s="248"/>
      <c r="CE12" s="248"/>
      <c r="CF12" s="248"/>
      <c r="CG12" s="248"/>
      <c r="CH12" s="248"/>
      <c r="CI12" s="248"/>
      <c r="CJ12" s="248"/>
      <c r="CK12" s="248"/>
      <c r="CL12" s="248"/>
      <c r="CM12" s="248"/>
      <c r="CN12" s="248"/>
      <c r="CO12" s="248"/>
      <c r="CP12" s="248"/>
      <c r="CQ12" s="248"/>
      <c r="CR12" s="248"/>
      <c r="CS12" s="248"/>
      <c r="CT12" s="248"/>
      <c r="CU12" s="248"/>
      <c r="CV12" s="248"/>
      <c r="CW12" s="248"/>
      <c r="CX12" s="248"/>
      <c r="CY12" s="248"/>
    </row>
    <row r="13" spans="1:103" ht="46" x14ac:dyDescent="0.25">
      <c r="A13" s="330"/>
      <c r="B13" s="333"/>
      <c r="C13" s="252" t="s">
        <v>254</v>
      </c>
      <c r="D13" s="252" t="s">
        <v>255</v>
      </c>
      <c r="E13" s="252" t="s">
        <v>256</v>
      </c>
      <c r="F13" s="252" t="s">
        <v>253</v>
      </c>
      <c r="G13" s="248"/>
      <c r="H13" s="248"/>
      <c r="I13" s="248"/>
      <c r="J13" s="248"/>
      <c r="K13" s="248"/>
      <c r="L13" s="248"/>
      <c r="M13" s="248"/>
      <c r="N13" s="248"/>
      <c r="O13" s="248"/>
      <c r="P13" s="248"/>
      <c r="Q13" s="248"/>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c r="BO13" s="248"/>
      <c r="BP13" s="248"/>
      <c r="BQ13" s="248"/>
      <c r="BR13" s="248"/>
      <c r="BS13" s="248"/>
      <c r="BT13" s="248"/>
      <c r="BU13" s="248"/>
      <c r="BV13" s="248"/>
      <c r="BW13" s="248"/>
      <c r="BX13" s="248"/>
      <c r="BY13" s="248"/>
      <c r="BZ13" s="248"/>
      <c r="CA13" s="248"/>
      <c r="CB13" s="248"/>
      <c r="CC13" s="248"/>
      <c r="CD13" s="248"/>
      <c r="CE13" s="248"/>
      <c r="CF13" s="248"/>
      <c r="CG13" s="248"/>
      <c r="CH13" s="248"/>
      <c r="CI13" s="248"/>
      <c r="CJ13" s="248"/>
      <c r="CK13" s="248"/>
      <c r="CL13" s="248"/>
      <c r="CM13" s="248"/>
      <c r="CN13" s="248"/>
      <c r="CO13" s="248"/>
      <c r="CP13" s="248"/>
      <c r="CQ13" s="248"/>
      <c r="CR13" s="248"/>
      <c r="CS13" s="248"/>
      <c r="CT13" s="248"/>
      <c r="CU13" s="248"/>
      <c r="CV13" s="248"/>
      <c r="CW13" s="248"/>
      <c r="CX13" s="248"/>
      <c r="CY13" s="248"/>
    </row>
    <row r="14" spans="1:103" ht="34.5" x14ac:dyDescent="0.25">
      <c r="A14" s="330"/>
      <c r="B14" s="333"/>
      <c r="C14" s="246" t="s">
        <v>257</v>
      </c>
      <c r="D14" s="257" t="s">
        <v>258</v>
      </c>
      <c r="E14" s="257" t="s">
        <v>252</v>
      </c>
      <c r="F14" s="257" t="s">
        <v>253</v>
      </c>
      <c r="G14" s="248"/>
      <c r="H14" s="248"/>
      <c r="I14" s="248"/>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8"/>
      <c r="BL14" s="248"/>
      <c r="BM14" s="248"/>
      <c r="BN14" s="248"/>
      <c r="BO14" s="248"/>
      <c r="BP14" s="248"/>
      <c r="BQ14" s="248"/>
      <c r="BR14" s="248"/>
      <c r="BS14" s="248"/>
      <c r="BT14" s="248"/>
      <c r="BU14" s="248"/>
      <c r="BV14" s="248"/>
      <c r="BW14" s="248"/>
      <c r="BX14" s="248"/>
      <c r="BY14" s="248"/>
      <c r="BZ14" s="248"/>
      <c r="CA14" s="248"/>
      <c r="CB14" s="248"/>
      <c r="CC14" s="248"/>
      <c r="CD14" s="248"/>
      <c r="CE14" s="248"/>
      <c r="CF14" s="248"/>
      <c r="CG14" s="248"/>
      <c r="CH14" s="248"/>
      <c r="CI14" s="248"/>
      <c r="CJ14" s="248"/>
      <c r="CK14" s="248"/>
      <c r="CL14" s="248"/>
      <c r="CM14" s="248"/>
      <c r="CN14" s="248"/>
      <c r="CO14" s="248"/>
      <c r="CP14" s="248"/>
      <c r="CQ14" s="248"/>
      <c r="CR14" s="248"/>
      <c r="CS14" s="248"/>
      <c r="CT14" s="248"/>
      <c r="CU14" s="248"/>
      <c r="CV14" s="248"/>
      <c r="CW14" s="248"/>
      <c r="CX14" s="248"/>
      <c r="CY14" s="248"/>
    </row>
    <row r="15" spans="1:103" ht="69" x14ac:dyDescent="0.25">
      <c r="A15" s="330"/>
      <c r="B15" s="334"/>
      <c r="C15" s="258" t="s">
        <v>259</v>
      </c>
      <c r="D15" s="252" t="s">
        <v>260</v>
      </c>
      <c r="E15" s="252" t="s">
        <v>256</v>
      </c>
      <c r="F15" s="252" t="s">
        <v>261</v>
      </c>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248"/>
      <c r="AY15" s="248"/>
      <c r="AZ15" s="248"/>
      <c r="BA15" s="248"/>
      <c r="BB15" s="248"/>
      <c r="BC15" s="248"/>
      <c r="BD15" s="248"/>
      <c r="BE15" s="248"/>
      <c r="BF15" s="248"/>
      <c r="BG15" s="248"/>
      <c r="BH15" s="248"/>
      <c r="BI15" s="248"/>
      <c r="BJ15" s="248"/>
      <c r="BK15" s="248"/>
      <c r="BL15" s="248"/>
      <c r="BM15" s="248"/>
      <c r="BN15" s="248"/>
      <c r="BO15" s="248"/>
      <c r="BP15" s="248"/>
      <c r="BQ15" s="248"/>
      <c r="BR15" s="248"/>
      <c r="BS15" s="248"/>
      <c r="BT15" s="248"/>
      <c r="BU15" s="248"/>
      <c r="BV15" s="248"/>
      <c r="BW15" s="248"/>
      <c r="BX15" s="248"/>
      <c r="BY15" s="248"/>
      <c r="BZ15" s="248"/>
      <c r="CA15" s="248"/>
      <c r="CB15" s="248"/>
      <c r="CC15" s="248"/>
      <c r="CD15" s="248"/>
      <c r="CE15" s="248"/>
      <c r="CF15" s="248"/>
      <c r="CG15" s="248"/>
      <c r="CH15" s="248"/>
      <c r="CI15" s="248"/>
      <c r="CJ15" s="248"/>
      <c r="CK15" s="248"/>
      <c r="CL15" s="248"/>
      <c r="CM15" s="248"/>
      <c r="CN15" s="248"/>
      <c r="CO15" s="248"/>
      <c r="CP15" s="248"/>
      <c r="CQ15" s="248"/>
      <c r="CR15" s="248"/>
      <c r="CS15" s="248"/>
      <c r="CT15" s="248"/>
      <c r="CU15" s="248"/>
      <c r="CV15" s="248"/>
      <c r="CW15" s="248"/>
      <c r="CX15" s="248"/>
      <c r="CY15" s="248"/>
    </row>
    <row r="16" spans="1:103" ht="57.5" x14ac:dyDescent="0.25">
      <c r="A16" s="331"/>
      <c r="B16" s="252" t="s">
        <v>262</v>
      </c>
      <c r="C16" s="252" t="s">
        <v>263</v>
      </c>
      <c r="D16" s="252" t="s">
        <v>264</v>
      </c>
      <c r="E16" s="252" t="s">
        <v>252</v>
      </c>
      <c r="F16" s="252" t="s">
        <v>253</v>
      </c>
    </row>
    <row r="17" spans="1:6" ht="46" x14ac:dyDescent="0.25">
      <c r="A17" s="251">
        <v>46243</v>
      </c>
      <c r="B17" s="252" t="s">
        <v>26</v>
      </c>
      <c r="C17" s="252" t="s">
        <v>254</v>
      </c>
      <c r="D17" s="252" t="s">
        <v>255</v>
      </c>
      <c r="E17" s="252" t="s">
        <v>256</v>
      </c>
      <c r="F17" s="252" t="s">
        <v>253</v>
      </c>
    </row>
    <row r="18" spans="1:6" ht="69" x14ac:dyDescent="0.25">
      <c r="A18" s="240">
        <v>46242</v>
      </c>
      <c r="B18" s="238" t="s">
        <v>26</v>
      </c>
      <c r="C18" s="238" t="s">
        <v>265</v>
      </c>
      <c r="D18" s="238" t="s">
        <v>266</v>
      </c>
      <c r="E18" s="238" t="s">
        <v>252</v>
      </c>
      <c r="F18" s="238" t="s">
        <v>253</v>
      </c>
    </row>
    <row r="19" spans="1:6" ht="46" x14ac:dyDescent="0.25">
      <c r="A19" s="240">
        <v>46240</v>
      </c>
      <c r="B19" s="238" t="s">
        <v>26</v>
      </c>
      <c r="C19" s="238" t="s">
        <v>267</v>
      </c>
      <c r="D19" s="238" t="s">
        <v>268</v>
      </c>
      <c r="E19" s="238" t="s">
        <v>256</v>
      </c>
      <c r="F19" s="238" t="s">
        <v>253</v>
      </c>
    </row>
    <row r="20" spans="1:6" ht="34.5" x14ac:dyDescent="0.25">
      <c r="A20" s="240">
        <v>46239</v>
      </c>
      <c r="B20" s="238" t="s">
        <v>26</v>
      </c>
      <c r="C20" s="238" t="s">
        <v>250</v>
      </c>
      <c r="D20" s="238" t="s">
        <v>251</v>
      </c>
      <c r="E20" s="238" t="s">
        <v>252</v>
      </c>
      <c r="F20" s="238" t="s">
        <v>253</v>
      </c>
    </row>
    <row r="21" spans="1:6" ht="23" x14ac:dyDescent="0.25">
      <c r="A21" s="328">
        <v>46237</v>
      </c>
      <c r="B21" s="327" t="s">
        <v>262</v>
      </c>
      <c r="C21" s="238" t="s">
        <v>269</v>
      </c>
      <c r="D21" s="238" t="s">
        <v>270</v>
      </c>
      <c r="E21" s="238" t="s">
        <v>271</v>
      </c>
      <c r="F21" s="238" t="s">
        <v>261</v>
      </c>
    </row>
    <row r="22" spans="1:6" ht="23" x14ac:dyDescent="0.25">
      <c r="A22" s="328"/>
      <c r="B22" s="327"/>
      <c r="C22" s="238" t="s">
        <v>272</v>
      </c>
      <c r="D22" s="238" t="s">
        <v>273</v>
      </c>
      <c r="E22" s="238" t="s">
        <v>256</v>
      </c>
      <c r="F22" s="238" t="s">
        <v>253</v>
      </c>
    </row>
    <row r="23" spans="1:6" ht="34.5" x14ac:dyDescent="0.25">
      <c r="A23" s="240">
        <v>46235</v>
      </c>
      <c r="B23" s="238" t="s">
        <v>262</v>
      </c>
      <c r="C23" s="238" t="s">
        <v>274</v>
      </c>
      <c r="D23" s="238" t="s">
        <v>275</v>
      </c>
      <c r="E23" s="238" t="s">
        <v>276</v>
      </c>
      <c r="F23" s="238" t="s">
        <v>277</v>
      </c>
    </row>
    <row r="24" spans="1:6" x14ac:dyDescent="0.25">
      <c r="A24" s="242"/>
      <c r="B24" s="241"/>
      <c r="C24" s="241"/>
      <c r="D24" s="241"/>
      <c r="E24" s="241"/>
      <c r="F24" s="241"/>
    </row>
    <row r="25" spans="1:6" x14ac:dyDescent="0.25">
      <c r="A25" s="242"/>
      <c r="B25" s="241"/>
      <c r="C25" s="241"/>
      <c r="D25" s="241"/>
      <c r="E25" s="241"/>
      <c r="F25" s="241"/>
    </row>
    <row r="26" spans="1:6" x14ac:dyDescent="0.25">
      <c r="A26" s="237"/>
      <c r="B26" s="236"/>
      <c r="C26" s="236"/>
      <c r="D26" s="236"/>
      <c r="E26" s="236"/>
      <c r="F26" s="236"/>
    </row>
    <row r="27" spans="1:6" x14ac:dyDescent="0.25">
      <c r="A27" s="232"/>
    </row>
    <row r="28" spans="1:6" x14ac:dyDescent="0.25">
      <c r="A28" s="232"/>
    </row>
    <row r="29" spans="1:6" x14ac:dyDescent="0.25">
      <c r="A29" s="232"/>
    </row>
    <row r="30" spans="1:6" x14ac:dyDescent="0.25">
      <c r="A30" s="232"/>
    </row>
    <row r="31" spans="1:6" x14ac:dyDescent="0.25">
      <c r="A31" s="232"/>
    </row>
    <row r="32" spans="1:6" x14ac:dyDescent="0.25">
      <c r="A32" s="232"/>
    </row>
    <row r="33" spans="1:103" x14ac:dyDescent="0.25">
      <c r="A33" s="232"/>
    </row>
    <row r="34" spans="1:103" x14ac:dyDescent="0.25">
      <c r="A34" s="232"/>
    </row>
    <row r="35" spans="1:103" x14ac:dyDescent="0.25">
      <c r="A35" s="232"/>
    </row>
    <row r="36" spans="1:103" x14ac:dyDescent="0.25">
      <c r="A36" s="232"/>
    </row>
    <row r="37" spans="1:103" x14ac:dyDescent="0.25">
      <c r="A37" s="232"/>
    </row>
    <row r="38" spans="1:103" ht="12" thickBot="1" x14ac:dyDescent="0.3">
      <c r="D38" s="66" t="s">
        <v>248</v>
      </c>
      <c r="E38" s="66"/>
      <c r="F38" s="66"/>
      <c r="G38" s="16">
        <v>46204</v>
      </c>
      <c r="H38" s="17"/>
      <c r="I38" s="18"/>
      <c r="J38" s="16">
        <v>46205</v>
      </c>
      <c r="K38" s="17"/>
      <c r="L38" s="18"/>
      <c r="M38" s="63">
        <v>46206</v>
      </c>
      <c r="N38" s="64"/>
      <c r="O38" s="65"/>
      <c r="P38" s="63">
        <v>46207</v>
      </c>
      <c r="Q38" s="64"/>
      <c r="R38" s="65"/>
      <c r="S38" s="16">
        <v>46208</v>
      </c>
      <c r="T38" s="17"/>
      <c r="U38" s="18"/>
      <c r="V38" s="16">
        <v>46209</v>
      </c>
      <c r="W38" s="17"/>
      <c r="X38" s="18"/>
      <c r="Y38" s="16">
        <v>46210</v>
      </c>
      <c r="Z38" s="17"/>
      <c r="AA38" s="18"/>
      <c r="AB38" s="16">
        <v>46211</v>
      </c>
      <c r="AC38" s="17"/>
      <c r="AD38" s="18"/>
      <c r="AE38" s="16">
        <v>46212</v>
      </c>
      <c r="AF38" s="17"/>
      <c r="AG38" s="18"/>
      <c r="AH38" s="16">
        <v>46213</v>
      </c>
      <c r="AI38" s="17"/>
      <c r="AJ38" s="18"/>
      <c r="AK38" s="16">
        <v>46214</v>
      </c>
      <c r="AL38" s="17"/>
      <c r="AM38" s="18"/>
      <c r="AN38" s="16">
        <v>46215</v>
      </c>
      <c r="AO38" s="17"/>
      <c r="AP38" s="18"/>
      <c r="AQ38" s="16">
        <v>46216</v>
      </c>
      <c r="AR38" s="17"/>
      <c r="AS38" s="18"/>
      <c r="AT38" s="16">
        <v>46217</v>
      </c>
      <c r="AU38" s="17"/>
      <c r="AV38" s="18"/>
      <c r="AW38" s="16">
        <v>46218</v>
      </c>
      <c r="AX38" s="17"/>
      <c r="AY38" s="18"/>
      <c r="AZ38" s="16">
        <v>46219</v>
      </c>
      <c r="BA38" s="17"/>
      <c r="BB38" s="18"/>
      <c r="BC38" s="16">
        <v>46220</v>
      </c>
      <c r="BD38" s="17"/>
      <c r="BE38" s="18"/>
      <c r="BF38" s="16">
        <v>46221</v>
      </c>
      <c r="BG38" s="17"/>
      <c r="BH38" s="18"/>
      <c r="BI38" s="16">
        <v>46222</v>
      </c>
      <c r="BJ38" s="17"/>
      <c r="BK38" s="18"/>
      <c r="BL38" s="16">
        <v>46223</v>
      </c>
      <c r="BM38" s="17"/>
      <c r="BN38" s="18"/>
      <c r="BO38" s="16">
        <v>46224</v>
      </c>
      <c r="BP38" s="17"/>
      <c r="BQ38" s="18"/>
      <c r="BR38" s="16">
        <v>46225</v>
      </c>
      <c r="BS38" s="17"/>
      <c r="BT38" s="18"/>
      <c r="BU38" s="16">
        <v>46226</v>
      </c>
      <c r="BV38" s="17"/>
      <c r="BW38" s="18"/>
      <c r="BX38" s="16">
        <v>46227</v>
      </c>
      <c r="BY38" s="17"/>
      <c r="BZ38" s="18"/>
      <c r="CA38" s="16">
        <v>46228</v>
      </c>
      <c r="CB38" s="17"/>
      <c r="CC38" s="18"/>
      <c r="CD38" s="16">
        <v>46229</v>
      </c>
      <c r="CE38" s="17"/>
      <c r="CF38" s="18"/>
      <c r="CG38" s="16">
        <v>46230</v>
      </c>
      <c r="CH38" s="17"/>
      <c r="CI38" s="18"/>
      <c r="CJ38" s="16">
        <v>46231</v>
      </c>
      <c r="CK38" s="17"/>
      <c r="CL38" s="18"/>
      <c r="CM38" s="16">
        <v>46232</v>
      </c>
      <c r="CN38" s="17"/>
      <c r="CO38" s="18"/>
      <c r="CP38" s="16">
        <v>46233</v>
      </c>
      <c r="CQ38" s="17"/>
      <c r="CR38" s="18"/>
      <c r="CS38" s="16">
        <v>46234</v>
      </c>
      <c r="CT38" s="17"/>
      <c r="CU38" s="18"/>
      <c r="CV38" s="16" t="s">
        <v>8</v>
      </c>
      <c r="CW38" s="17"/>
      <c r="CX38" s="18"/>
    </row>
    <row r="39" spans="1:103" ht="12" thickBot="1" x14ac:dyDescent="0.3">
      <c r="A39" s="33"/>
      <c r="B39" s="14" t="s">
        <v>35</v>
      </c>
      <c r="C39" s="15" t="s">
        <v>36</v>
      </c>
      <c r="D39" s="67" t="s">
        <v>37</v>
      </c>
      <c r="E39" s="67" t="s">
        <v>38</v>
      </c>
      <c r="F39" s="67" t="s">
        <v>39</v>
      </c>
      <c r="G39" s="24" t="s">
        <v>37</v>
      </c>
      <c r="H39" s="24" t="s">
        <v>38</v>
      </c>
      <c r="I39" s="24" t="s">
        <v>39</v>
      </c>
      <c r="J39" s="24" t="s">
        <v>37</v>
      </c>
      <c r="K39" s="24" t="s">
        <v>38</v>
      </c>
      <c r="L39" s="24" t="s">
        <v>39</v>
      </c>
      <c r="M39" s="24" t="s">
        <v>37</v>
      </c>
      <c r="N39" s="24" t="s">
        <v>38</v>
      </c>
      <c r="O39" s="24" t="s">
        <v>39</v>
      </c>
      <c r="P39" s="24" t="s">
        <v>37</v>
      </c>
      <c r="Q39" s="24" t="s">
        <v>38</v>
      </c>
      <c r="R39" s="24" t="s">
        <v>39</v>
      </c>
      <c r="S39" s="24" t="s">
        <v>37</v>
      </c>
      <c r="T39" s="24" t="s">
        <v>38</v>
      </c>
      <c r="U39" s="24" t="s">
        <v>39</v>
      </c>
      <c r="V39" s="24" t="s">
        <v>37</v>
      </c>
      <c r="W39" s="24" t="s">
        <v>38</v>
      </c>
      <c r="X39" s="24" t="s">
        <v>39</v>
      </c>
      <c r="Y39" s="24" t="s">
        <v>37</v>
      </c>
      <c r="Z39" s="24" t="s">
        <v>38</v>
      </c>
      <c r="AA39" s="24" t="s">
        <v>39</v>
      </c>
      <c r="AB39" s="24" t="s">
        <v>37</v>
      </c>
      <c r="AC39" s="24" t="s">
        <v>38</v>
      </c>
      <c r="AD39" s="24" t="s">
        <v>39</v>
      </c>
      <c r="AE39" s="24" t="s">
        <v>37</v>
      </c>
      <c r="AF39" s="24" t="s">
        <v>38</v>
      </c>
      <c r="AG39" s="24" t="s">
        <v>39</v>
      </c>
      <c r="AH39" s="24" t="s">
        <v>37</v>
      </c>
      <c r="AI39" s="24" t="s">
        <v>38</v>
      </c>
      <c r="AJ39" s="24" t="s">
        <v>39</v>
      </c>
      <c r="AK39" s="24" t="s">
        <v>37</v>
      </c>
      <c r="AL39" s="24" t="s">
        <v>38</v>
      </c>
      <c r="AM39" s="24" t="s">
        <v>39</v>
      </c>
      <c r="AN39" s="24" t="s">
        <v>37</v>
      </c>
      <c r="AO39" s="24" t="s">
        <v>38</v>
      </c>
      <c r="AP39" s="24" t="s">
        <v>39</v>
      </c>
      <c r="AQ39" s="24" t="s">
        <v>37</v>
      </c>
      <c r="AR39" s="24" t="s">
        <v>38</v>
      </c>
      <c r="AS39" s="24" t="s">
        <v>39</v>
      </c>
      <c r="AT39" s="24" t="s">
        <v>37</v>
      </c>
      <c r="AU39" s="24" t="s">
        <v>38</v>
      </c>
      <c r="AV39" s="24" t="s">
        <v>39</v>
      </c>
      <c r="AW39" s="24" t="s">
        <v>37</v>
      </c>
      <c r="AX39" s="24" t="s">
        <v>38</v>
      </c>
      <c r="AY39" s="24" t="s">
        <v>39</v>
      </c>
      <c r="AZ39" s="24" t="s">
        <v>37</v>
      </c>
      <c r="BA39" s="24" t="s">
        <v>38</v>
      </c>
      <c r="BB39" s="24" t="s">
        <v>39</v>
      </c>
      <c r="BC39" s="24" t="s">
        <v>37</v>
      </c>
      <c r="BD39" s="24" t="s">
        <v>38</v>
      </c>
      <c r="BE39" s="24" t="s">
        <v>39</v>
      </c>
      <c r="BF39" s="24" t="s">
        <v>37</v>
      </c>
      <c r="BG39" s="24" t="s">
        <v>38</v>
      </c>
      <c r="BH39" s="24" t="s">
        <v>39</v>
      </c>
      <c r="BI39" s="24" t="s">
        <v>37</v>
      </c>
      <c r="BJ39" s="24" t="s">
        <v>38</v>
      </c>
      <c r="BK39" s="24" t="s">
        <v>39</v>
      </c>
      <c r="BL39" s="24" t="s">
        <v>37</v>
      </c>
      <c r="BM39" s="24" t="s">
        <v>38</v>
      </c>
      <c r="BN39" s="24" t="s">
        <v>39</v>
      </c>
      <c r="BO39" s="24" t="s">
        <v>37</v>
      </c>
      <c r="BP39" s="24" t="s">
        <v>38</v>
      </c>
      <c r="BQ39" s="24" t="s">
        <v>39</v>
      </c>
      <c r="BR39" s="24" t="s">
        <v>37</v>
      </c>
      <c r="BS39" s="24" t="s">
        <v>38</v>
      </c>
      <c r="BT39" s="24" t="s">
        <v>39</v>
      </c>
      <c r="BU39" s="24" t="s">
        <v>37</v>
      </c>
      <c r="BV39" s="24" t="s">
        <v>38</v>
      </c>
      <c r="BW39" s="24" t="s">
        <v>39</v>
      </c>
      <c r="BX39" s="24" t="s">
        <v>37</v>
      </c>
      <c r="BY39" s="24" t="s">
        <v>38</v>
      </c>
      <c r="BZ39" s="24" t="s">
        <v>39</v>
      </c>
      <c r="CA39" s="24" t="s">
        <v>37</v>
      </c>
      <c r="CB39" s="24" t="s">
        <v>38</v>
      </c>
      <c r="CC39" s="24" t="s">
        <v>39</v>
      </c>
      <c r="CD39" s="24" t="s">
        <v>37</v>
      </c>
      <c r="CE39" s="24" t="s">
        <v>38</v>
      </c>
      <c r="CF39" s="24" t="s">
        <v>39</v>
      </c>
      <c r="CG39" s="24" t="s">
        <v>37</v>
      </c>
      <c r="CH39" s="24" t="s">
        <v>38</v>
      </c>
      <c r="CI39" s="24" t="s">
        <v>39</v>
      </c>
      <c r="CJ39" s="24" t="s">
        <v>37</v>
      </c>
      <c r="CK39" s="24" t="s">
        <v>38</v>
      </c>
      <c r="CL39" s="24" t="s">
        <v>39</v>
      </c>
      <c r="CM39" s="24" t="s">
        <v>37</v>
      </c>
      <c r="CN39" s="24" t="s">
        <v>38</v>
      </c>
      <c r="CO39" s="24" t="s">
        <v>39</v>
      </c>
      <c r="CP39" s="24" t="s">
        <v>37</v>
      </c>
      <c r="CQ39" s="24" t="s">
        <v>38</v>
      </c>
      <c r="CR39" s="24" t="s">
        <v>39</v>
      </c>
      <c r="CS39" s="24" t="s">
        <v>37</v>
      </c>
      <c r="CT39" s="24" t="s">
        <v>38</v>
      </c>
      <c r="CU39" s="24" t="s">
        <v>39</v>
      </c>
      <c r="CV39" s="24" t="s">
        <v>37</v>
      </c>
      <c r="CW39" s="24" t="s">
        <v>38</v>
      </c>
      <c r="CX39" s="24" t="s">
        <v>39</v>
      </c>
      <c r="CY39" s="1" t="s">
        <v>40</v>
      </c>
    </row>
    <row r="40" spans="1:103" x14ac:dyDescent="0.25">
      <c r="A40" s="34" t="s">
        <v>24</v>
      </c>
      <c r="B40" s="38" t="s">
        <v>25</v>
      </c>
      <c r="C40" s="39"/>
      <c r="D40" s="43">
        <v>98.45</v>
      </c>
      <c r="E40" s="42">
        <v>800</v>
      </c>
      <c r="F40" s="40">
        <v>148</v>
      </c>
      <c r="G40" s="185">
        <v>98.53</v>
      </c>
      <c r="H40" s="42">
        <v>39.619</v>
      </c>
      <c r="I40" s="42">
        <v>5</v>
      </c>
      <c r="J40" s="185">
        <v>98.32</v>
      </c>
      <c r="K40" s="42">
        <v>15.705</v>
      </c>
      <c r="L40" s="42">
        <v>4</v>
      </c>
      <c r="M40" s="185">
        <v>98.53</v>
      </c>
      <c r="N40" s="42">
        <v>18.073</v>
      </c>
      <c r="O40" s="42">
        <v>2</v>
      </c>
      <c r="P40" s="185">
        <v>98.55</v>
      </c>
      <c r="Q40" s="42">
        <v>17.507999999999999</v>
      </c>
      <c r="R40" s="42">
        <v>2</v>
      </c>
      <c r="S40" s="185">
        <v>99.11</v>
      </c>
      <c r="T40" s="42">
        <v>17.690999999999999</v>
      </c>
      <c r="U40" s="42">
        <v>3</v>
      </c>
      <c r="V40" s="188">
        <v>98.06</v>
      </c>
      <c r="W40" s="42">
        <v>5.9580000000000002</v>
      </c>
      <c r="X40" s="42">
        <v>3</v>
      </c>
      <c r="Y40" s="185">
        <v>98.59</v>
      </c>
      <c r="Z40" s="42">
        <v>21.763000000000002</v>
      </c>
      <c r="AA40" s="42">
        <v>3</v>
      </c>
      <c r="AB40" s="188">
        <v>98.37</v>
      </c>
      <c r="AC40" s="42">
        <v>40.259</v>
      </c>
      <c r="AD40" s="42">
        <v>6</v>
      </c>
      <c r="AE40" s="185">
        <v>98.51</v>
      </c>
      <c r="AF40" s="42">
        <v>31.373999999999999</v>
      </c>
      <c r="AG40" s="42">
        <v>6</v>
      </c>
      <c r="AH40" s="160">
        <v>98.71</v>
      </c>
      <c r="AI40" s="42">
        <v>22.53</v>
      </c>
      <c r="AJ40" s="42">
        <v>3</v>
      </c>
      <c r="AK40" s="160">
        <v>98.56</v>
      </c>
      <c r="AL40" s="42">
        <v>83.5</v>
      </c>
      <c r="AM40" s="42">
        <v>2</v>
      </c>
      <c r="AN40" s="160">
        <v>98.91</v>
      </c>
      <c r="AO40" s="42">
        <v>13.846</v>
      </c>
      <c r="AP40" s="42">
        <v>3</v>
      </c>
      <c r="AQ40" s="160">
        <v>98.53</v>
      </c>
      <c r="AR40" s="42">
        <v>53.024000000000001</v>
      </c>
      <c r="AS40" s="42">
        <v>10</v>
      </c>
      <c r="AT40" s="160">
        <v>99.12</v>
      </c>
      <c r="AU40" s="42">
        <f>2026/1000</f>
        <v>2.0259999999999998</v>
      </c>
      <c r="AV40" s="42">
        <v>1</v>
      </c>
      <c r="AW40" s="116">
        <v>98.01</v>
      </c>
      <c r="AX40" s="42">
        <f>37114/1000</f>
        <v>37.113999999999997</v>
      </c>
      <c r="AY40" s="42">
        <v>10</v>
      </c>
      <c r="AZ40" s="116">
        <v>97.54</v>
      </c>
      <c r="BA40" s="42">
        <f>34804/1000</f>
        <v>34.804000000000002</v>
      </c>
      <c r="BB40" s="42">
        <v>8</v>
      </c>
      <c r="BC40" s="160">
        <v>98.73</v>
      </c>
      <c r="BD40" s="155">
        <f>36398/1000</f>
        <v>36.398000000000003</v>
      </c>
      <c r="BE40" s="155">
        <v>7</v>
      </c>
      <c r="BF40" s="160">
        <v>99.18</v>
      </c>
      <c r="BG40" s="155">
        <f>21635/1000</f>
        <v>21.635000000000002</v>
      </c>
      <c r="BH40" s="155">
        <v>5</v>
      </c>
      <c r="BI40" s="160">
        <v>98.74</v>
      </c>
      <c r="BJ40" s="155">
        <f>27770/1000</f>
        <v>27.77</v>
      </c>
      <c r="BK40" s="155">
        <v>5</v>
      </c>
      <c r="BL40" s="189">
        <v>98.03</v>
      </c>
      <c r="BM40" s="42">
        <f>24441/1000</f>
        <v>24.440999999999999</v>
      </c>
      <c r="BN40" s="42">
        <v>9</v>
      </c>
      <c r="BO40" s="189">
        <v>97.22</v>
      </c>
      <c r="BP40" s="42">
        <f>46388/1000</f>
        <v>46.387999999999998</v>
      </c>
      <c r="BQ40" s="42">
        <v>8</v>
      </c>
      <c r="BR40" s="189">
        <v>96.68</v>
      </c>
      <c r="BS40" s="42">
        <f>78030/1000</f>
        <v>78.03</v>
      </c>
      <c r="BT40" s="42">
        <v>12</v>
      </c>
      <c r="BU40" s="189">
        <v>98.43</v>
      </c>
      <c r="BV40" s="42">
        <f>50782/1000</f>
        <v>50.781999999999996</v>
      </c>
      <c r="BW40" s="42">
        <v>8</v>
      </c>
      <c r="BX40" s="160">
        <v>98.95</v>
      </c>
      <c r="BY40" s="42">
        <f>23929/1000</f>
        <v>23.928999999999998</v>
      </c>
      <c r="BZ40" s="42">
        <v>6</v>
      </c>
      <c r="CA40" s="160">
        <v>98.93</v>
      </c>
      <c r="CB40" s="42">
        <f>39320/1000</f>
        <v>39.32</v>
      </c>
      <c r="CC40" s="42">
        <v>5</v>
      </c>
      <c r="CD40" s="160">
        <v>98.99</v>
      </c>
      <c r="CE40" s="42">
        <f>38110/1000</f>
        <v>38.11</v>
      </c>
      <c r="CF40" s="42">
        <v>4</v>
      </c>
      <c r="CG40" s="160">
        <v>98.91</v>
      </c>
      <c r="CH40" s="42">
        <f>25241/1000</f>
        <v>25.241</v>
      </c>
      <c r="CI40" s="42">
        <v>4</v>
      </c>
      <c r="CJ40" s="160">
        <v>98.65</v>
      </c>
      <c r="CK40" s="42">
        <f>32513/1000</f>
        <v>32.512999999999998</v>
      </c>
      <c r="CL40" s="42">
        <v>4</v>
      </c>
      <c r="CM40" s="189">
        <v>98.26</v>
      </c>
      <c r="CN40" s="42">
        <f>47228/1000</f>
        <v>47.228000000000002</v>
      </c>
      <c r="CO40" s="42">
        <v>6</v>
      </c>
      <c r="CP40" s="43"/>
      <c r="CQ40" s="42"/>
      <c r="CR40" s="42"/>
      <c r="CS40" s="43"/>
      <c r="CT40" s="42"/>
      <c r="CU40" s="42"/>
      <c r="CV40" s="43">
        <f>AVERAGE(G40,J40,M40,P40,S40,V40,Y40,AB40,AE40,AH40,AK40,AN40,AQ40,AT40,AW40,AZ40,BC40,BF40,BI40,BL40,BO40,BR40,BU40,BX40,CA40,CD40,CG40,CJ40,CM40,CP40,CS40)</f>
        <v>98.470689655172379</v>
      </c>
      <c r="CW40" s="22">
        <f>SUM(H40,K40,N40,Q40,T40,W40,Z40,AC40,AF40,AI40,AL40,AO40,AR40,AU40,AX40,BA40,BD40,BG40,BJ40,BM40,BP40,BS40,BV40,BY40,CB40,CE40,CH40,CK40,CN40,CQ40,CT40)</f>
        <v>946.57900000000006</v>
      </c>
      <c r="CX40" s="22">
        <f t="shared" ref="CW40:CX42" si="7">SUM(I40,L40,O40,R40,U40,X40,AA40,AD40,AG40,AJ40,AM40,AP40,AS40,AV40,AY40,BB40,BE40,BH40,BK40,BN40,BQ40,BT40,BW40,BZ40,CC40,CF40,CI40,CL40,CO40,CR40,CU40)</f>
        <v>154</v>
      </c>
      <c r="CY40" s="74">
        <f>CV40-D40</f>
        <v>2.0689655172375865E-2</v>
      </c>
    </row>
    <row r="41" spans="1:103" x14ac:dyDescent="0.25">
      <c r="A41" s="35" t="s">
        <v>246</v>
      </c>
      <c r="B41" s="41" t="s">
        <v>26</v>
      </c>
      <c r="C41" s="37"/>
      <c r="D41" s="44">
        <v>99.1</v>
      </c>
      <c r="E41" s="10">
        <v>1550.0003480000005</v>
      </c>
      <c r="F41" s="9">
        <v>117</v>
      </c>
      <c r="G41" s="186">
        <v>99.41</v>
      </c>
      <c r="H41" s="10">
        <v>38</v>
      </c>
      <c r="I41" s="10">
        <v>3</v>
      </c>
      <c r="J41" s="186">
        <v>99.61</v>
      </c>
      <c r="K41" s="10">
        <v>31.5</v>
      </c>
      <c r="L41" s="10">
        <v>2</v>
      </c>
      <c r="M41" s="186">
        <v>99.45</v>
      </c>
      <c r="N41" s="10">
        <v>37.5</v>
      </c>
      <c r="O41" s="10">
        <v>3</v>
      </c>
      <c r="P41" s="186">
        <v>99.28</v>
      </c>
      <c r="Q41" s="10">
        <v>55.5</v>
      </c>
      <c r="R41" s="10">
        <v>4</v>
      </c>
      <c r="S41" s="186">
        <v>99.42</v>
      </c>
      <c r="T41" s="10">
        <v>51</v>
      </c>
      <c r="U41" s="10">
        <v>4</v>
      </c>
      <c r="V41" s="186">
        <v>99.19</v>
      </c>
      <c r="W41" s="10">
        <v>38</v>
      </c>
      <c r="X41" s="10">
        <v>3</v>
      </c>
      <c r="Y41" s="186">
        <v>99.3</v>
      </c>
      <c r="Z41" s="10">
        <v>73</v>
      </c>
      <c r="AA41" s="10">
        <v>6</v>
      </c>
      <c r="AB41" s="186">
        <v>99.28</v>
      </c>
      <c r="AC41" s="10">
        <v>75</v>
      </c>
      <c r="AD41" s="10">
        <v>6</v>
      </c>
      <c r="AE41" s="186">
        <v>99.37</v>
      </c>
      <c r="AF41" s="10">
        <v>44.5</v>
      </c>
      <c r="AG41" s="10">
        <v>3</v>
      </c>
      <c r="AH41" s="114">
        <v>99.57</v>
      </c>
      <c r="AI41" s="10">
        <v>76.5</v>
      </c>
      <c r="AJ41" s="10">
        <v>5</v>
      </c>
      <c r="AK41" s="114">
        <v>99.24</v>
      </c>
      <c r="AL41" s="10">
        <v>48.95</v>
      </c>
      <c r="AM41" s="10">
        <v>4</v>
      </c>
      <c r="AN41" s="184">
        <v>99.02</v>
      </c>
      <c r="AO41" s="10">
        <v>63.4</v>
      </c>
      <c r="AP41" s="10">
        <v>5</v>
      </c>
      <c r="AQ41" s="184">
        <v>98.69</v>
      </c>
      <c r="AR41" s="10">
        <v>72.599999999999994</v>
      </c>
      <c r="AS41" s="10">
        <v>5</v>
      </c>
      <c r="AT41" s="114">
        <v>99.46</v>
      </c>
      <c r="AU41" s="10">
        <f>30500/1000</f>
        <v>30.5</v>
      </c>
      <c r="AV41" s="10">
        <v>2</v>
      </c>
      <c r="AW41" s="114">
        <v>99.45</v>
      </c>
      <c r="AX41" s="10">
        <f>44000/1000</f>
        <v>44</v>
      </c>
      <c r="AY41" s="10">
        <v>3</v>
      </c>
      <c r="AZ41" s="151">
        <v>99.09</v>
      </c>
      <c r="BA41" s="10">
        <f>50300/1000</f>
        <v>50.3</v>
      </c>
      <c r="BB41" s="10">
        <v>4</v>
      </c>
      <c r="BC41" s="114">
        <v>99.71</v>
      </c>
      <c r="BD41" s="156">
        <f>38000/1000</f>
        <v>38</v>
      </c>
      <c r="BE41" s="156">
        <v>2</v>
      </c>
      <c r="BF41" s="114">
        <v>99.3</v>
      </c>
      <c r="BG41" s="156">
        <f>19000/1000</f>
        <v>19</v>
      </c>
      <c r="BH41" s="159">
        <v>1</v>
      </c>
      <c r="BI41" s="114">
        <v>99.73</v>
      </c>
      <c r="BJ41" s="156">
        <f>37000/1000</f>
        <v>37</v>
      </c>
      <c r="BK41" s="156">
        <v>2</v>
      </c>
      <c r="BL41" s="114">
        <v>99.32</v>
      </c>
      <c r="BM41" s="10">
        <f>13000/1000</f>
        <v>13</v>
      </c>
      <c r="BN41" s="10">
        <v>1</v>
      </c>
      <c r="BO41" s="114">
        <v>99.6</v>
      </c>
      <c r="BP41" s="10">
        <f>31000/1000</f>
        <v>31</v>
      </c>
      <c r="BQ41" s="10">
        <v>2</v>
      </c>
      <c r="BR41" s="114">
        <v>99.68</v>
      </c>
      <c r="BS41" s="10">
        <f>19000/1000</f>
        <v>19</v>
      </c>
      <c r="BT41" s="10">
        <v>2</v>
      </c>
      <c r="BU41" s="114">
        <v>99.62</v>
      </c>
      <c r="BV41" s="10">
        <f>33000/1000</f>
        <v>33</v>
      </c>
      <c r="BW41" s="10">
        <v>2</v>
      </c>
      <c r="BX41" s="114">
        <v>99.43</v>
      </c>
      <c r="BY41" s="10">
        <f>51000/1000</f>
        <v>51</v>
      </c>
      <c r="BZ41" s="10">
        <v>5</v>
      </c>
      <c r="CA41" s="114">
        <v>99.36</v>
      </c>
      <c r="CB41" s="10">
        <f>45000/1000</f>
        <v>45</v>
      </c>
      <c r="CC41" s="10">
        <v>3</v>
      </c>
      <c r="CD41" s="114">
        <v>99.42</v>
      </c>
      <c r="CE41" s="10">
        <f>63500/1000</f>
        <v>63.5</v>
      </c>
      <c r="CF41" s="10">
        <v>5</v>
      </c>
      <c r="CG41" s="184">
        <v>98.77</v>
      </c>
      <c r="CH41" s="10">
        <f>30000/1000</f>
        <v>30</v>
      </c>
      <c r="CI41" s="10">
        <v>3</v>
      </c>
      <c r="CJ41" s="114">
        <v>99.5</v>
      </c>
      <c r="CK41" s="10">
        <f>37500/1000</f>
        <v>37.5</v>
      </c>
      <c r="CL41" s="10">
        <v>3</v>
      </c>
      <c r="CM41" s="184">
        <v>96.32</v>
      </c>
      <c r="CN41" s="10">
        <f>93000/1000</f>
        <v>93</v>
      </c>
      <c r="CO41" s="10">
        <v>8</v>
      </c>
      <c r="CP41" s="44"/>
      <c r="CQ41" s="10"/>
      <c r="CR41" s="10"/>
      <c r="CS41" s="44"/>
      <c r="CT41" s="10"/>
      <c r="CU41" s="10"/>
      <c r="CV41" s="44">
        <f>AVERAGE(G41,J41,M41,P41,S41,V41,Y41,AB41,AE41,AH41,AK41,AN41,AQ41,AT41,AW41,AZ41,BC41,BF41,BI41,BL41,BO41,BR41,BU41,BX41,CA41,CD41,CG41,CJ41,CM41,CP41,CS41)</f>
        <v>99.261724137931026</v>
      </c>
      <c r="CW41" s="22">
        <f t="shared" si="7"/>
        <v>1340.25</v>
      </c>
      <c r="CX41" s="22">
        <f t="shared" si="7"/>
        <v>101</v>
      </c>
      <c r="CY41" s="74">
        <f t="shared" ref="CY41:CY43" si="8">CV41-D41</f>
        <v>0.16172413793103146</v>
      </c>
    </row>
    <row r="42" spans="1:103" ht="12" thickBot="1" x14ac:dyDescent="0.3">
      <c r="A42" s="35"/>
      <c r="B42" s="83" t="s">
        <v>27</v>
      </c>
      <c r="C42" s="79"/>
      <c r="D42" s="81">
        <v>99.2</v>
      </c>
      <c r="E42" s="20">
        <v>1200</v>
      </c>
      <c r="F42" s="4">
        <v>94</v>
      </c>
      <c r="G42" s="187">
        <v>99.53</v>
      </c>
      <c r="H42" s="20">
        <v>17</v>
      </c>
      <c r="I42" s="20">
        <v>1</v>
      </c>
      <c r="J42" s="187">
        <v>99.51</v>
      </c>
      <c r="K42" s="20">
        <v>22</v>
      </c>
      <c r="L42" s="20">
        <v>2</v>
      </c>
      <c r="M42" s="195">
        <v>98.78</v>
      </c>
      <c r="N42" s="20">
        <v>18.927</v>
      </c>
      <c r="O42" s="20">
        <v>2</v>
      </c>
      <c r="P42" s="187">
        <v>99.7</v>
      </c>
      <c r="Q42" s="20">
        <v>33</v>
      </c>
      <c r="R42" s="20">
        <v>2</v>
      </c>
      <c r="S42" s="187">
        <v>99.62</v>
      </c>
      <c r="T42" s="20">
        <v>63.134</v>
      </c>
      <c r="U42" s="20">
        <v>4</v>
      </c>
      <c r="V42" s="187">
        <v>99.51</v>
      </c>
      <c r="W42" s="20">
        <v>46</v>
      </c>
      <c r="X42" s="20">
        <v>3</v>
      </c>
      <c r="Y42" s="187">
        <v>99.63</v>
      </c>
      <c r="Z42" s="20">
        <v>68.989999999999995</v>
      </c>
      <c r="AA42" s="20">
        <v>6</v>
      </c>
      <c r="AB42" s="187">
        <v>99.56</v>
      </c>
      <c r="AC42" s="20">
        <v>66.355999999999995</v>
      </c>
      <c r="AD42" s="20">
        <v>5</v>
      </c>
      <c r="AE42" s="187">
        <v>99.56</v>
      </c>
      <c r="AF42" s="20">
        <v>50.151000000000003</v>
      </c>
      <c r="AG42" s="20">
        <v>5</v>
      </c>
      <c r="AH42" s="115">
        <v>99.58</v>
      </c>
      <c r="AI42" s="20">
        <v>65.2</v>
      </c>
      <c r="AJ42" s="20">
        <v>5</v>
      </c>
      <c r="AK42" s="115">
        <v>99.49</v>
      </c>
      <c r="AL42" s="20">
        <v>38</v>
      </c>
      <c r="AM42" s="20">
        <v>3</v>
      </c>
      <c r="AN42" s="115">
        <v>99.39</v>
      </c>
      <c r="AO42" s="20">
        <v>80.744</v>
      </c>
      <c r="AP42" s="20">
        <v>6</v>
      </c>
      <c r="AQ42" s="115">
        <v>99.35</v>
      </c>
      <c r="AR42" s="20">
        <v>55.463999999999999</v>
      </c>
      <c r="AS42" s="20">
        <v>6</v>
      </c>
      <c r="AT42" s="115">
        <v>99.38</v>
      </c>
      <c r="AU42" s="20">
        <f>24665/1000</f>
        <v>24.664999999999999</v>
      </c>
      <c r="AV42" s="20">
        <v>2</v>
      </c>
      <c r="AW42" s="115">
        <v>99.26</v>
      </c>
      <c r="AX42" s="20">
        <f>38000/1000</f>
        <v>38</v>
      </c>
      <c r="AY42" s="20">
        <v>3</v>
      </c>
      <c r="AZ42" s="115">
        <v>99.68</v>
      </c>
      <c r="BA42" s="20">
        <f>12644/1000</f>
        <v>12.644</v>
      </c>
      <c r="BB42" s="20">
        <v>1</v>
      </c>
      <c r="BC42" s="157"/>
      <c r="BD42" s="158">
        <v>0</v>
      </c>
      <c r="BE42" s="158">
        <v>0</v>
      </c>
      <c r="BF42" s="157"/>
      <c r="BG42" s="158">
        <v>0</v>
      </c>
      <c r="BH42" s="158">
        <v>0</v>
      </c>
      <c r="BI42" s="115">
        <v>99.63</v>
      </c>
      <c r="BJ42" s="158">
        <f>37000/1000</f>
        <v>37</v>
      </c>
      <c r="BK42" s="158">
        <v>2</v>
      </c>
      <c r="BL42" s="115">
        <v>99.45</v>
      </c>
      <c r="BM42" s="20">
        <f>23800/1000</f>
        <v>23.8</v>
      </c>
      <c r="BN42" s="20">
        <v>2</v>
      </c>
      <c r="BO42" s="115">
        <v>99.65</v>
      </c>
      <c r="BP42" s="20">
        <f>37000/1000</f>
        <v>37</v>
      </c>
      <c r="BQ42" s="20">
        <v>2</v>
      </c>
      <c r="BR42" s="115">
        <v>99.72</v>
      </c>
      <c r="BS42" s="20">
        <f>25000/1000</f>
        <v>25</v>
      </c>
      <c r="BT42" s="20">
        <v>1</v>
      </c>
      <c r="BU42" s="115">
        <v>99.71</v>
      </c>
      <c r="BV42" s="20">
        <f>57000/1000</f>
        <v>57</v>
      </c>
      <c r="BW42" s="20">
        <v>4</v>
      </c>
      <c r="BX42" s="115">
        <v>99.65</v>
      </c>
      <c r="BY42" s="20">
        <f>86399/1000</f>
        <v>86.399000000000001</v>
      </c>
      <c r="BZ42" s="20">
        <v>7</v>
      </c>
      <c r="CA42" s="115">
        <v>99.64</v>
      </c>
      <c r="CB42" s="20">
        <f>49389/1000</f>
        <v>49.389000000000003</v>
      </c>
      <c r="CC42" s="20">
        <v>5</v>
      </c>
      <c r="CD42" s="115">
        <v>99.48</v>
      </c>
      <c r="CE42" s="20">
        <f>13000/1000</f>
        <v>13</v>
      </c>
      <c r="CF42" s="20">
        <v>1</v>
      </c>
      <c r="CG42" s="115">
        <v>99.8</v>
      </c>
      <c r="CH42" s="20">
        <f>38000/1000</f>
        <v>38</v>
      </c>
      <c r="CI42" s="20">
        <v>2</v>
      </c>
      <c r="CJ42" s="81"/>
      <c r="CK42" s="20">
        <v>0</v>
      </c>
      <c r="CL42" s="20">
        <v>0</v>
      </c>
      <c r="CM42" s="115">
        <v>99.65</v>
      </c>
      <c r="CN42" s="20">
        <f>17090/1000</f>
        <v>17.09</v>
      </c>
      <c r="CO42" s="20">
        <v>1</v>
      </c>
      <c r="CP42" s="81"/>
      <c r="CQ42" s="20"/>
      <c r="CR42" s="20"/>
      <c r="CS42" s="81"/>
      <c r="CT42" s="20"/>
      <c r="CU42" s="20"/>
      <c r="CV42" s="81">
        <f>AVERAGE(G42,J42,M42,P42,S42,V42,Y42,AB42,AE42,AH42,AK42,AN42,AQ42,AT42,AW42,AZ42,BC42,BF42,BI42,BL42,BO42,BR42,BU42,BX42,CA42,CD42,CG42,CJ42,CM42,CP42,CS42)</f>
        <v>99.535000000000025</v>
      </c>
      <c r="CW42" s="70">
        <f t="shared" si="7"/>
        <v>1083.9529999999997</v>
      </c>
      <c r="CX42" s="70">
        <f t="shared" si="7"/>
        <v>83</v>
      </c>
      <c r="CY42" s="74">
        <f t="shared" si="8"/>
        <v>0.33500000000002217</v>
      </c>
    </row>
    <row r="43" spans="1:103" ht="12" thickBot="1" x14ac:dyDescent="0.3">
      <c r="A43" s="36"/>
      <c r="B43" s="84" t="s">
        <v>247</v>
      </c>
      <c r="C43" s="85"/>
      <c r="D43" s="82">
        <v>99</v>
      </c>
      <c r="E43" s="21">
        <f>SUM(E40:E42)</f>
        <v>3550.0003480000005</v>
      </c>
      <c r="F43" s="21">
        <f>SUM(F40:F42)</f>
        <v>359</v>
      </c>
      <c r="G43" s="26">
        <f>(G40*H40/H43)+(G41*H41/H43)+(G42*H42/H43)</f>
        <v>99.063085321130004</v>
      </c>
      <c r="H43" s="86">
        <f>SUM(H40:H42)</f>
        <v>94.619</v>
      </c>
      <c r="I43" s="86">
        <f>SUM(I40:I42)</f>
        <v>9</v>
      </c>
      <c r="J43" s="26">
        <f>(J40*K40/K43)+(J41*K41/K43)+(J42*K42/K43)</f>
        <v>99.285464923054704</v>
      </c>
      <c r="K43" s="86">
        <f>SUM(K40:K42)</f>
        <v>69.204999999999998</v>
      </c>
      <c r="L43" s="86">
        <f>SUM(L40:L42)</f>
        <v>8</v>
      </c>
      <c r="M43" s="26">
        <f>(M40*N40/N43)+(M41*N41/N43)+(M42*N42/N43)</f>
        <v>99.056600671140941</v>
      </c>
      <c r="N43" s="86">
        <f>SUM(N40:N42)</f>
        <v>74.5</v>
      </c>
      <c r="O43" s="86">
        <f>SUM(O40:O42)</f>
        <v>7</v>
      </c>
      <c r="P43" s="26">
        <f>(P40*Q40/Q43)+(P41*Q41/Q43)+(P42*Q42/Q43)</f>
        <v>99.290179986416121</v>
      </c>
      <c r="Q43" s="86">
        <f>SUM(Q40:Q42)</f>
        <v>106.008</v>
      </c>
      <c r="R43" s="86">
        <f>SUM(R40:R42)</f>
        <v>8</v>
      </c>
      <c r="S43" s="26">
        <f>(S40*T40/T43)+(S41*T41/T43)+(S42*T42/T43)</f>
        <v>99.474182362981239</v>
      </c>
      <c r="T43" s="86">
        <f>SUM(T40:T42)</f>
        <v>131.82499999999999</v>
      </c>
      <c r="U43" s="86">
        <f>SUM(U40:U42)</f>
        <v>11</v>
      </c>
      <c r="V43" s="26">
        <f>(V40*W40/W43)+(V41*W41/W43)+(V42*W42/W43)</f>
        <v>99.278790991351514</v>
      </c>
      <c r="W43" s="86">
        <f>SUM(W40:W42)</f>
        <v>89.957999999999998</v>
      </c>
      <c r="X43" s="86">
        <f>SUM(X40:X42)</f>
        <v>9</v>
      </c>
      <c r="Y43" s="26">
        <f>(Y40*Z40/Z43)+(Y41*Z41/Z43)+(Y42*Z42/Z43)</f>
        <v>99.344670754123598</v>
      </c>
      <c r="Z43" s="86">
        <f>SUM(Z40:Z42)</f>
        <v>163.75299999999999</v>
      </c>
      <c r="AA43" s="86">
        <f>SUM(AA40:AA42)</f>
        <v>15</v>
      </c>
      <c r="AB43" s="26">
        <f>(AB40*AC40/AC43)+(AB41*AC41/AC43)+(AB42*AC42/AC43)</f>
        <v>99.180580844093271</v>
      </c>
      <c r="AC43" s="86">
        <f>SUM(AC40:AC42)</f>
        <v>181.61500000000001</v>
      </c>
      <c r="AD43" s="86">
        <f>SUM(AD40:AD42)</f>
        <v>17</v>
      </c>
      <c r="AE43" s="26">
        <f>(AE40*AF40/AF43)+(AE41*AF41/AF43)+(AE42*AF42/AF43)</f>
        <v>99.231512001586992</v>
      </c>
      <c r="AF43" s="86">
        <f t="shared" ref="AF43:AP43" si="9">SUM(AF40:AF42)</f>
        <v>126.02500000000001</v>
      </c>
      <c r="AG43" s="86">
        <f t="shared" si="9"/>
        <v>14</v>
      </c>
      <c r="AH43" s="26">
        <f>(AH40*AI40/AI43)+(AH41*AI41/AI43)+(AH42*AI42/AI43)</f>
        <v>99.455990379346019</v>
      </c>
      <c r="AI43" s="21">
        <f t="shared" si="9"/>
        <v>164.23000000000002</v>
      </c>
      <c r="AJ43" s="21">
        <f t="shared" si="9"/>
        <v>13</v>
      </c>
      <c r="AK43" s="87">
        <f>(AK40*AL40/AL43)+(AK41*AL41/AL43)+(AK42*AL42/AL43)</f>
        <v>98.962616603109424</v>
      </c>
      <c r="AL43" s="21">
        <f t="shared" si="9"/>
        <v>170.45</v>
      </c>
      <c r="AM43" s="21">
        <f t="shared" si="9"/>
        <v>9</v>
      </c>
      <c r="AN43" s="87">
        <f>(AN40*AO40/AO43)+(AN41*AO41/AO43)+(AN42*AO42/AO43)</f>
        <v>99.199455788341027</v>
      </c>
      <c r="AO43" s="21">
        <f t="shared" si="9"/>
        <v>157.99</v>
      </c>
      <c r="AP43" s="21">
        <f t="shared" si="9"/>
        <v>14</v>
      </c>
      <c r="AQ43" s="87">
        <f>(AQ40*AR40/AR43)+(AQ41*AR41/AR43)+(AQ42*AR42/AR43)</f>
        <v>98.845296872238904</v>
      </c>
      <c r="AR43" s="86">
        <v>181.08799999999999</v>
      </c>
      <c r="AS43" s="86">
        <v>21</v>
      </c>
      <c r="AT43" s="87">
        <f>(AT40*AU40/AU43)+(AT41*AU41/AU43)+(AT42*AU42/AU43)</f>
        <v>99.413453515413266</v>
      </c>
      <c r="AU43" s="86">
        <f>SUM(AU40:AU42)</f>
        <v>57.190999999999995</v>
      </c>
      <c r="AV43" s="86">
        <f>SUM(AV40:AV42)</f>
        <v>5</v>
      </c>
      <c r="AW43" s="87">
        <f>(AW40*AX40/AX43)+(AW41*AX41/AX43)+(AW42*AX42/AX43)</f>
        <v>98.940705038870334</v>
      </c>
      <c r="AX43" s="86">
        <f>SUM(AX40:AX42)</f>
        <v>119.114</v>
      </c>
      <c r="AY43" s="86">
        <f>SUM(AY40:AY42)</f>
        <v>16</v>
      </c>
      <c r="AZ43" s="87">
        <f>(AZ40*BA40/BA43)+(AZ41*BA41/BA43)+(AZ42*BA42/BA43)</f>
        <v>98.614427712075937</v>
      </c>
      <c r="BA43" s="86">
        <f>SUM(BA40:BA42)</f>
        <v>97.748000000000005</v>
      </c>
      <c r="BB43" s="86">
        <f>SUM(BB40:BB42)</f>
        <v>13</v>
      </c>
      <c r="BC43" s="87">
        <f>(BC40*BD40/BD43)+(BC41*BD41/BD43)+(BC42*BD42/BD43)</f>
        <v>99.230551090083082</v>
      </c>
      <c r="BD43" s="86">
        <f>SUM(BD40:BD42)</f>
        <v>74.397999999999996</v>
      </c>
      <c r="BE43" s="86">
        <f>SUM(BE40:BE42)</f>
        <v>9</v>
      </c>
      <c r="BF43" s="87">
        <f>(BF40*BG40/BG43)+(BF41*BG41/BG43)+(BF42*BG42/BG43)</f>
        <v>99.236109265411585</v>
      </c>
      <c r="BG43" s="86">
        <f>SUM(BG40:BG42)</f>
        <v>40.635000000000005</v>
      </c>
      <c r="BH43" s="86">
        <f>SUM(BH40:BH42)</f>
        <v>6</v>
      </c>
      <c r="BI43" s="87">
        <f>(BI40*BJ40/BJ43)+(BI41*BJ41/BJ43)+(BI42*BJ42/BJ43)</f>
        <v>99.42350201434607</v>
      </c>
      <c r="BJ43" s="86">
        <f>SUM(BJ40:BJ42)</f>
        <v>101.77</v>
      </c>
      <c r="BK43" s="86">
        <f>SUM(BK40:BK42)</f>
        <v>9</v>
      </c>
      <c r="BL43" s="87">
        <f>(BL40*BM40/BM43)+(BL41*BM41/BM43)+(BL42*BM42/BM43)</f>
        <v>98.855688672621284</v>
      </c>
      <c r="BM43" s="86">
        <f>SUM(BM40:BM42)</f>
        <v>61.241</v>
      </c>
      <c r="BN43" s="86">
        <f>SUM(BN40:BN42)</f>
        <v>12</v>
      </c>
      <c r="BO43" s="87">
        <f>(BO40*BP40/BP43)+(BO41*BP41/BP43)+(BO42*BP42/BP43)</f>
        <v>98.651006748959674</v>
      </c>
      <c r="BP43" s="86">
        <f>SUM(BP40:BP42)</f>
        <v>114.38800000000001</v>
      </c>
      <c r="BQ43" s="86">
        <f>SUM(BQ40:BQ42)</f>
        <v>12</v>
      </c>
      <c r="BR43" s="87">
        <f>(BR40*BS40/BS43)+(BR41*BS41/BS43)+(BR42*BS42/BS43)</f>
        <v>97.769895927231005</v>
      </c>
      <c r="BS43" s="86">
        <f>SUM(BS40:BS42)</f>
        <v>122.03</v>
      </c>
      <c r="BT43" s="86">
        <f>SUM(BT40:BT42)</f>
        <v>15</v>
      </c>
      <c r="BU43" s="87">
        <f>(BU40*BV40/BV43)+(BU41*BV41/BV43)+(BU42*BV42/BV43)</f>
        <v>99.227189981673803</v>
      </c>
      <c r="BV43" s="86">
        <f>SUM(BV40:BV42)</f>
        <v>140.78199999999998</v>
      </c>
      <c r="BW43" s="86">
        <f>SUM(BW40:BW42)</f>
        <v>14</v>
      </c>
      <c r="BX43" s="87"/>
      <c r="BY43" s="86"/>
      <c r="BZ43" s="86"/>
      <c r="CA43" s="87"/>
      <c r="CB43" s="86"/>
      <c r="CC43" s="86"/>
      <c r="CD43" s="87"/>
      <c r="CE43" s="86"/>
      <c r="CF43" s="86"/>
      <c r="CG43" s="87"/>
      <c r="CH43" s="86"/>
      <c r="CI43" s="86"/>
      <c r="CJ43" s="87"/>
      <c r="CK43" s="86"/>
      <c r="CL43" s="86"/>
      <c r="CM43" s="87"/>
      <c r="CN43" s="86"/>
      <c r="CO43" s="86"/>
      <c r="CP43" s="87"/>
      <c r="CQ43" s="86"/>
      <c r="CR43" s="86"/>
      <c r="CS43" s="87"/>
      <c r="CT43" s="86"/>
      <c r="CU43" s="86"/>
      <c r="CV43" s="87">
        <f>(CV40*CW40/CW43)+(CV41*CW41/CW43)+(CV42*CW42/CW43)</f>
        <v>99.127464954412787</v>
      </c>
      <c r="CW43" s="21">
        <f>SUM(CW40:CW42)</f>
        <v>3370.7820000000002</v>
      </c>
      <c r="CX43" s="21">
        <f>SUM(CX40:CX42)</f>
        <v>338</v>
      </c>
      <c r="CY43" s="75">
        <f t="shared" si="8"/>
        <v>0.12746495441278682</v>
      </c>
    </row>
    <row r="47" spans="1:103" x14ac:dyDescent="0.25">
      <c r="BO47" s="1" t="s">
        <v>278</v>
      </c>
    </row>
    <row r="49" spans="1:6" x14ac:dyDescent="0.25">
      <c r="A49" s="119" t="s">
        <v>69</v>
      </c>
      <c r="B49" s="119" t="s">
        <v>70</v>
      </c>
      <c r="C49" s="119" t="s">
        <v>71</v>
      </c>
      <c r="D49" s="119" t="s">
        <v>249</v>
      </c>
      <c r="E49" s="119" t="s">
        <v>73</v>
      </c>
      <c r="F49" s="119" t="s">
        <v>74</v>
      </c>
    </row>
    <row r="50" spans="1:6" ht="46" x14ac:dyDescent="0.25">
      <c r="A50" s="320">
        <v>46218</v>
      </c>
      <c r="B50" s="318" t="s">
        <v>262</v>
      </c>
      <c r="C50" s="117" t="s">
        <v>279</v>
      </c>
      <c r="D50" s="118" t="s">
        <v>273</v>
      </c>
      <c r="E50" s="118" t="s">
        <v>256</v>
      </c>
      <c r="F50" s="118" t="s">
        <v>253</v>
      </c>
    </row>
    <row r="51" spans="1:6" ht="23" x14ac:dyDescent="0.25">
      <c r="A51" s="320"/>
      <c r="B51" s="319"/>
      <c r="C51" s="153" t="s">
        <v>280</v>
      </c>
      <c r="D51" s="154" t="s">
        <v>270</v>
      </c>
      <c r="E51" s="154" t="s">
        <v>271</v>
      </c>
      <c r="F51" s="154" t="s">
        <v>261</v>
      </c>
    </row>
    <row r="52" spans="1:6" ht="46" x14ac:dyDescent="0.25">
      <c r="A52" s="321">
        <v>46219</v>
      </c>
      <c r="B52" s="118" t="s">
        <v>262</v>
      </c>
      <c r="C52" s="194" t="s">
        <v>279</v>
      </c>
      <c r="D52" s="118" t="s">
        <v>273</v>
      </c>
      <c r="E52" s="118" t="s">
        <v>256</v>
      </c>
      <c r="F52" s="118" t="s">
        <v>253</v>
      </c>
    </row>
    <row r="53" spans="1:6" ht="34.5" x14ac:dyDescent="0.25">
      <c r="A53" s="322"/>
      <c r="B53" s="154" t="s">
        <v>26</v>
      </c>
      <c r="C53" s="194" t="s">
        <v>281</v>
      </c>
      <c r="D53" s="118" t="s">
        <v>273</v>
      </c>
      <c r="E53" s="118" t="s">
        <v>256</v>
      </c>
      <c r="F53" s="118" t="s">
        <v>253</v>
      </c>
    </row>
    <row r="54" spans="1:6" ht="40.5" customHeight="1" x14ac:dyDescent="0.25">
      <c r="A54" s="190">
        <v>46223</v>
      </c>
      <c r="B54" s="118" t="s">
        <v>262</v>
      </c>
      <c r="C54" s="121" t="s">
        <v>279</v>
      </c>
      <c r="D54" s="118" t="s">
        <v>273</v>
      </c>
      <c r="E54" s="118" t="s">
        <v>256</v>
      </c>
      <c r="F54" s="118" t="s">
        <v>253</v>
      </c>
    </row>
    <row r="55" spans="1:6" ht="55.5" customHeight="1" x14ac:dyDescent="0.25">
      <c r="A55" s="190">
        <v>46224</v>
      </c>
      <c r="B55" s="118" t="s">
        <v>262</v>
      </c>
      <c r="C55" s="121" t="s">
        <v>282</v>
      </c>
      <c r="D55" s="118" t="s">
        <v>258</v>
      </c>
      <c r="E55" s="118" t="s">
        <v>252</v>
      </c>
      <c r="F55" s="118" t="s">
        <v>253</v>
      </c>
    </row>
    <row r="56" spans="1:6" ht="57.5" x14ac:dyDescent="0.25">
      <c r="A56" s="190">
        <v>46225</v>
      </c>
      <c r="B56" s="118" t="s">
        <v>262</v>
      </c>
      <c r="C56" s="121" t="s">
        <v>283</v>
      </c>
      <c r="D56" s="118" t="s">
        <v>284</v>
      </c>
      <c r="E56" s="118" t="s">
        <v>252</v>
      </c>
      <c r="F56" s="118" t="s">
        <v>277</v>
      </c>
    </row>
    <row r="57" spans="1:6" ht="34.5" x14ac:dyDescent="0.25">
      <c r="A57" s="190">
        <v>46226</v>
      </c>
      <c r="B57" s="118" t="s">
        <v>26</v>
      </c>
      <c r="C57" s="121" t="s">
        <v>285</v>
      </c>
      <c r="D57" s="154" t="s">
        <v>286</v>
      </c>
      <c r="E57" s="154" t="s">
        <v>252</v>
      </c>
      <c r="F57" s="154" t="s">
        <v>253</v>
      </c>
    </row>
    <row r="58" spans="1:6" ht="23" x14ac:dyDescent="0.25">
      <c r="A58" s="315">
        <v>46232</v>
      </c>
      <c r="B58" s="197" t="s">
        <v>262</v>
      </c>
      <c r="C58" s="200" t="s">
        <v>269</v>
      </c>
      <c r="D58" s="154" t="s">
        <v>270</v>
      </c>
      <c r="E58" s="154" t="s">
        <v>271</v>
      </c>
      <c r="F58" s="154" t="s">
        <v>261</v>
      </c>
    </row>
    <row r="59" spans="1:6" ht="24" customHeight="1" x14ac:dyDescent="0.25">
      <c r="A59" s="323"/>
      <c r="B59" s="199" t="s">
        <v>26</v>
      </c>
      <c r="C59" s="201" t="s">
        <v>287</v>
      </c>
      <c r="D59" s="118" t="s">
        <v>288</v>
      </c>
      <c r="E59" s="118" t="s">
        <v>252</v>
      </c>
      <c r="F59" s="118" t="s">
        <v>253</v>
      </c>
    </row>
    <row r="60" spans="1:6" x14ac:dyDescent="0.25">
      <c r="A60" s="152"/>
      <c r="B60" s="152"/>
      <c r="C60" s="152"/>
      <c r="D60" s="152"/>
      <c r="E60" s="152"/>
      <c r="F60" s="152"/>
    </row>
    <row r="61" spans="1:6" x14ac:dyDescent="0.25">
      <c r="A61" s="152"/>
      <c r="B61" s="152"/>
      <c r="C61" s="152"/>
      <c r="D61" s="152"/>
      <c r="E61" s="152"/>
      <c r="F61" s="152"/>
    </row>
    <row r="62" spans="1:6" x14ac:dyDescent="0.25">
      <c r="A62" s="152"/>
      <c r="B62" s="152"/>
      <c r="C62" s="152"/>
      <c r="D62" s="152"/>
      <c r="E62" s="152"/>
      <c r="F62" s="152"/>
    </row>
    <row r="63" spans="1:6" x14ac:dyDescent="0.25">
      <c r="A63" s="152"/>
      <c r="B63" s="152"/>
      <c r="C63" s="152"/>
      <c r="D63" s="152"/>
      <c r="E63" s="152"/>
      <c r="F63" s="152"/>
    </row>
    <row r="64" spans="1:6" x14ac:dyDescent="0.25">
      <c r="A64" s="152"/>
      <c r="B64" s="152"/>
      <c r="C64" s="152"/>
      <c r="D64" s="152"/>
      <c r="E64" s="152"/>
      <c r="F64" s="152"/>
    </row>
    <row r="65" spans="1:6" x14ac:dyDescent="0.25">
      <c r="A65" s="152"/>
      <c r="B65" s="152"/>
      <c r="C65" s="152"/>
      <c r="D65" s="152"/>
      <c r="E65" s="152"/>
      <c r="F65" s="152"/>
    </row>
    <row r="66" spans="1:6" x14ac:dyDescent="0.25">
      <c r="A66" s="152"/>
      <c r="B66" s="152"/>
      <c r="C66" s="152"/>
      <c r="D66" s="152"/>
      <c r="E66" s="152"/>
      <c r="F66" s="152"/>
    </row>
    <row r="67" spans="1:6" x14ac:dyDescent="0.25">
      <c r="A67" s="152"/>
      <c r="B67" s="152"/>
      <c r="C67" s="152"/>
      <c r="D67" s="152"/>
      <c r="E67" s="152"/>
      <c r="F67" s="152"/>
    </row>
  </sheetData>
  <mergeCells count="39">
    <mergeCell ref="CG3:CI3"/>
    <mergeCell ref="CJ3:CL3"/>
    <mergeCell ref="CM3:CO3"/>
    <mergeCell ref="CP3:CR3"/>
    <mergeCell ref="CS3:CU3"/>
    <mergeCell ref="BR3:BT3"/>
    <mergeCell ref="BU3:BW3"/>
    <mergeCell ref="BX3:BZ3"/>
    <mergeCell ref="CA3:CC3"/>
    <mergeCell ref="CD3:CF3"/>
    <mergeCell ref="BC3:BE3"/>
    <mergeCell ref="BF3:BH3"/>
    <mergeCell ref="BI3:BK3"/>
    <mergeCell ref="BL3:BN3"/>
    <mergeCell ref="BO3:BQ3"/>
    <mergeCell ref="AN3:AP3"/>
    <mergeCell ref="AQ3:AS3"/>
    <mergeCell ref="AT3:AV3"/>
    <mergeCell ref="AW3:AY3"/>
    <mergeCell ref="AZ3:BB3"/>
    <mergeCell ref="Y3:AA3"/>
    <mergeCell ref="AB3:AD3"/>
    <mergeCell ref="AE3:AG3"/>
    <mergeCell ref="AH3:AJ3"/>
    <mergeCell ref="AK3:AM3"/>
    <mergeCell ref="J3:L3"/>
    <mergeCell ref="M3:O3"/>
    <mergeCell ref="P3:R3"/>
    <mergeCell ref="S3:U3"/>
    <mergeCell ref="V3:X3"/>
    <mergeCell ref="B50:B51"/>
    <mergeCell ref="A50:A51"/>
    <mergeCell ref="A52:A53"/>
    <mergeCell ref="A58:A59"/>
    <mergeCell ref="G3:I3"/>
    <mergeCell ref="B21:B22"/>
    <mergeCell ref="A21:A22"/>
    <mergeCell ref="A12:A16"/>
    <mergeCell ref="B12:B15"/>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72B91A0E2FE2BC4D9197FDCB8AEBBDCE" ma:contentTypeVersion="3" ma:contentTypeDescription="Create a new document." ma:contentTypeScope="" ma:versionID="7580ff2eb8ecd1e2ab01015e72a75b88">
  <xsd:schema xmlns:xsd="http://www.w3.org/2001/XMLSchema" xmlns:xs="http://www.w3.org/2001/XMLSchema" xmlns:p="http://schemas.microsoft.com/office/2006/metadata/properties" xmlns:ns2="a5f8daf2-3e2b-4c58-bdb9-4a848e6b2bdf" targetNamespace="http://schemas.microsoft.com/office/2006/metadata/properties" ma:root="true" ma:fieldsID="0ec502f025121f38dd73f9fc511a2191" ns2:_="">
    <xsd:import namespace="a5f8daf2-3e2b-4c58-bdb9-4a848e6b2bd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8daf2-3e2b-4c58-bdb9-4a848e6b2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EF47BE-6081-4337-B947-58A57F26E40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9DB820F-11D8-4356-9562-3F89339206EB}">
  <ds:schemaRefs>
    <ds:schemaRef ds:uri="http://schemas.microsoft.com/sharepoint/v3/contenttype/forms"/>
  </ds:schemaRefs>
</ds:datastoreItem>
</file>

<file path=customXml/itemProps3.xml><?xml version="1.0" encoding="utf-8"?>
<ds:datastoreItem xmlns:ds="http://schemas.openxmlformats.org/officeDocument/2006/customXml" ds:itemID="{0118A331-8549-4AB0-8AE2-BD7373DB5C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f8daf2-3e2b-4c58-bdb9-4a848e6b2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 vol-Ship</vt:lpstr>
      <vt:lpstr>Daily_Yield_Ta</vt:lpstr>
      <vt:lpstr>Monthly_Yield_Ta-SC</vt:lpstr>
      <vt:lpstr>Daily_Yield_SC</vt:lpstr>
    </vt:vector>
  </TitlesOfParts>
  <Manager/>
  <Company>YAGEO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Orawan Pirakaew</dc:creator>
  <cp:keywords/>
  <dc:description/>
  <cp:lastModifiedBy>Teranat Yasan</cp:lastModifiedBy>
  <cp:revision/>
  <dcterms:created xsi:type="dcterms:W3CDTF">2026-07-09T00:23:57Z</dcterms:created>
  <dcterms:modified xsi:type="dcterms:W3CDTF">2026-08-14T02:35:35Z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0x01010072B91A0E2FE2BC4D9197FDCB8AEBBDCE</vt:lpwstr>
  </property>
</Properties>
</file>