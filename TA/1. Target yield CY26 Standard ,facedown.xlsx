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 test\Product Dashboard\TA\"/>
    </mc:Choice>
  </mc:AlternateContent>
  <xr:revisionPtr revIDLastSave="0" documentId="8_{367FF39D-B56C-4C3A-B8C8-F84EF9C03B94}" xr6:coauthVersionLast="47" xr6:coauthVersionMax="47" xr10:uidLastSave="{00000000-0000-0000-0000-000000000000}"/>
  <bookViews>
    <workbookView xWindow="28680" yWindow="-1035" windowWidth="38640" windowHeight="21120" firstSheet="5" activeTab="5" xr2:uid="{77961FB5-EFBB-4024-85A0-D8CE19A24839}"/>
  </bookViews>
  <sheets>
    <sheet name="CY23 Yield Plan&amp;Result" sheetId="9" r:id="rId1"/>
    <sheet name="Target CY24(Ver.1)" sheetId="5" r:id="rId2"/>
    <sheet name="Target CY24" sheetId="10" r:id="rId3"/>
    <sheet name="Cal_Y" sheetId="6" r:id="rId4"/>
    <sheet name="Target CY25" sheetId="11" r:id="rId5"/>
    <sheet name="Target CY26" sheetId="1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A" localSheetId="0">#REF!</definedName>
    <definedName name="\A" localSheetId="2">#REF!</definedName>
    <definedName name="\A" localSheetId="1">#REF!</definedName>
    <definedName name="\A" localSheetId="4">#REF!</definedName>
    <definedName name="\A" localSheetId="5">#REF!</definedName>
    <definedName name="\A">#REF!</definedName>
    <definedName name="\B" localSheetId="0">#REF!</definedName>
    <definedName name="\B" localSheetId="2">#REF!</definedName>
    <definedName name="\B" localSheetId="1">#REF!</definedName>
    <definedName name="\B" localSheetId="4">#REF!</definedName>
    <definedName name="\B" localSheetId="5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heih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[1]Subs!#REF!</definedName>
    <definedName name="\Q">#REF!</definedName>
    <definedName name="\R">#REF!</definedName>
    <definedName name="\W">#REF!</definedName>
    <definedName name="\X">#REF!</definedName>
    <definedName name="\Y">#REF!</definedName>
    <definedName name="\Z">#REF!</definedName>
    <definedName name="__0209実績">#REF!</definedName>
    <definedName name="__0210実績">#REF!</definedName>
    <definedName name="__1_0209実績">#REF!</definedName>
    <definedName name="__2_0210実績">#REF!</definedName>
    <definedName name="__４・１０月ＩＮＰＯＲＴ">#REF!</definedName>
    <definedName name="__BTG1">#REF!</definedName>
    <definedName name="__BTG2">#REF!</definedName>
    <definedName name="__TTG1">[2]before!$C$3:$E$22</definedName>
    <definedName name="__TTG2">[2]before!$A$3:$J$22</definedName>
    <definedName name="_0209実績">#REF!</definedName>
    <definedName name="_0210実績">#REF!</definedName>
    <definedName name="_1">#REF!</definedName>
    <definedName name="_1_0209実績">#REF!</definedName>
    <definedName name="_1_1_ESV製品マスタ_全点Y入り_クエリ">#REF!</definedName>
    <definedName name="_10_7">#REF!</definedName>
    <definedName name="_11_8">#REF!</definedName>
    <definedName name="_12_9">#REF!</definedName>
    <definedName name="_2">#REF!</definedName>
    <definedName name="_2_0210実績">#REF!</definedName>
    <definedName name="_206受注">#REF!</definedName>
    <definedName name="_3">#N/A</definedName>
    <definedName name="_3_10">#REF!</definedName>
    <definedName name="_4">#N/A</definedName>
    <definedName name="_4_0209実績">#REF!</definedName>
    <definedName name="_4_11">#REF!</definedName>
    <definedName name="_5">#N/A</definedName>
    <definedName name="_5_2">#REF!</definedName>
    <definedName name="_6_3">#REF!</definedName>
    <definedName name="_7_4">#REF!</definedName>
    <definedName name="_8_0210実績">#REF!</definedName>
    <definedName name="_8_5">#REF!</definedName>
    <definedName name="_9_6">#REF!</definedName>
    <definedName name="_BTG1">#REF!</definedName>
    <definedName name="_BTG2">#REF!</definedName>
    <definedName name="_C">#REF!</definedName>
    <definedName name="_fa1">#REF!</definedName>
    <definedName name="_FAS87">#REF!</definedName>
    <definedName name="_xlnm._FilterDatabase" hidden="1">[3]原価コード表!$C$199:$C$200</definedName>
    <definedName name="_Key1" hidden="1">#REF!</definedName>
    <definedName name="_Order1" hidden="1">255</definedName>
    <definedName name="_Regression_Int" hidden="1">1</definedName>
    <definedName name="_S03">#REF!</definedName>
    <definedName name="_TTG1">[2]before!$C$3:$E$22</definedName>
    <definedName name="_TTG2">[2]before!$A$3:$J$22</definedName>
    <definedName name="Ａ">[4]基地別生産計画!#REF!</definedName>
    <definedName name="A81bo1">'[5]raw J1'!$A$75</definedName>
    <definedName name="aa">[6]Query1!$A$1:$S$367</definedName>
    <definedName name="AAA">[7]Ｈ０４!#REF!</definedName>
    <definedName name="aaaaa">[8]FORM!#REF!</definedName>
    <definedName name="AAUSGZ">[9]Sheet1!#REF!</definedName>
    <definedName name="abc">#REF!</definedName>
    <definedName name="ACARGZ1">[9]Sheet1!#REF!</definedName>
    <definedName name="ACARGZ2">[9]Sheet1!#REF!</definedName>
    <definedName name="AccessDatabase" hidden="1">"D:\Users\ProEng1\VANRUIDEE\COST\Cost_Reduction.mdb"</definedName>
    <definedName name="ACROSSGZ">[9]Sheet1!#REF!</definedName>
    <definedName name="AdditionalInformation_1_fd3806ec4f9b41d9973ee73fb7c472d0">#REF!</definedName>
    <definedName name="AdditionalInformation_10_fd3806ec4f9b41d9973ee73fb7c472d0">#REF!</definedName>
    <definedName name="AdditionalInformation_11_fd3806ec4f9b41d9973ee73fb7c472d0">#REF!</definedName>
    <definedName name="AdditionalInformation_12_fd3806ec4f9b41d9973ee73fb7c472d0">#REF!</definedName>
    <definedName name="AdditionalInformation_13_fd3806ec4f9b41d9973ee73fb7c472d0">#REF!</definedName>
    <definedName name="AdditionalInformation_14_fd3806ec4f9b41d9973ee73fb7c472d0">#REF!</definedName>
    <definedName name="AdditionalInformation_15_fd3806ec4f9b41d9973ee73fb7c472d0">#REF!</definedName>
    <definedName name="AdditionalInformation_16_fd3806ec4f9b41d9973ee73fb7c472d0">#REF!</definedName>
    <definedName name="AdditionalInformation_17_fd3806ec4f9b41d9973ee73fb7c472d0">#REF!</definedName>
    <definedName name="AdditionalInformation_18_fd3806ec4f9b41d9973ee73fb7c472d0">#REF!</definedName>
    <definedName name="AdditionalInformation_19_fd3806ec4f9b41d9973ee73fb7c472d0">#REF!</definedName>
    <definedName name="AdditionalInformation_2_fd3806ec4f9b41d9973ee73fb7c472d0">#REF!</definedName>
    <definedName name="AdditionalInformation_20_fd3806ec4f9b41d9973ee73fb7c472d0">#REF!</definedName>
    <definedName name="AdditionalInformation_3_fd3806ec4f9b41d9973ee73fb7c472d0">#REF!</definedName>
    <definedName name="AdditionalInformation_4_fd3806ec4f9b41d9973ee73fb7c472d0">#REF!</definedName>
    <definedName name="AdditionalInformation_5_fd3806ec4f9b41d9973ee73fb7c472d0">#REF!</definedName>
    <definedName name="AdditionalInformation_6_fd3806ec4f9b41d9973ee73fb7c472d0">#REF!</definedName>
    <definedName name="AdditionalInformation_7_fd3806ec4f9b41d9973ee73fb7c472d0">#REF!</definedName>
    <definedName name="AdditionalInformation_8_fd3806ec4f9b41d9973ee73fb7c472d0">#REF!</definedName>
    <definedName name="AdditionalInformation_9_fd3806ec4f9b41d9973ee73fb7c472d0">#REF!</definedName>
    <definedName name="AEAFGZ">[9]Sheet1!#REF!</definedName>
    <definedName name="AESAGZ">[9]Sheet1!#REF!</definedName>
    <definedName name="AEURGZ">[9]Sheet1!#REF!</definedName>
    <definedName name="after111">'[10]Dry formation '!#REF!</definedName>
    <definedName name="Age_category">'[11]"Probablity"'!$D$2:$E$12</definedName>
    <definedName name="ageprovability">'[11]"Probablity"'!$B$2:$E$12</definedName>
    <definedName name="AgingI_Time">[12]CONTENT!#REF!</definedName>
    <definedName name="AgingI_Volt">[13]CONTENT!$B$209</definedName>
    <definedName name="AgingII_Volt">[13]CONTENT!$B$304</definedName>
    <definedName name="AGKXGZ">[9]Sheet1!#REF!</definedName>
    <definedName name="AIATGZ">[9]Sheet1!#REF!</definedName>
    <definedName name="Air_Be_Ag">[12]CONTENT!#REF!</definedName>
    <definedName name="Air_IR">[12]CONTENT!#REF!</definedName>
    <definedName name="Air_IR_07">[12]CONTENT!#REF!</definedName>
    <definedName name="AIRBAG">[12]CONTENT!#REF!</definedName>
    <definedName name="AMEDGZ">[9]Sheet1!#REF!</definedName>
    <definedName name="Analysisendofperiod_1_fd3806ec4f9b41d9973ee73fb7c472d0">#REF!</definedName>
    <definedName name="Analysisendofperiod_2_fd3806ec4f9b41d9973ee73fb7c472d0">#REF!</definedName>
    <definedName name="Analysisendofperiod_3_fd3806ec4f9b41d9973ee73fb7c472d0">#REF!</definedName>
    <definedName name="ANWCGZ">[9]Sheet1!#REF!</definedName>
    <definedName name="ANZPGZ">[9]Sheet1!#REF!</definedName>
    <definedName name="APATGZ">[9]Sheet1!#REF!</definedName>
    <definedName name="AREDGZ">[9]Sheet1!#REF!</definedName>
    <definedName name="as">'[5]raw J1'!$L$73</definedName>
    <definedName name="AS2DocOpenMode" hidden="1">"AS2DocumentEdit"</definedName>
    <definedName name="ASAFGZ1">[9]Sheet1!#REF!</definedName>
    <definedName name="ASAFGZ2">[9]Sheet1!#REF!</definedName>
    <definedName name="ASASGZ">[9]Sheet1!#REF!</definedName>
    <definedName name="Assets_1_fd3806ec4f9b41d9973ee73fb7c472d0">#REF!</definedName>
    <definedName name="Assets_10_fd3806ec4f9b41d9973ee73fb7c472d0">#REF!</definedName>
    <definedName name="Assets_11_fd3806ec4f9b41d9973ee73fb7c472d0">#REF!</definedName>
    <definedName name="Assets_12_fd3806ec4f9b41d9973ee73fb7c472d0">#REF!</definedName>
    <definedName name="Assets_13_fd3806ec4f9b41d9973ee73fb7c472d0">#REF!</definedName>
    <definedName name="Assets_14_fd3806ec4f9b41d9973ee73fb7c472d0">#REF!</definedName>
    <definedName name="Assets_15_fd3806ec4f9b41d9973ee73fb7c472d0">#REF!</definedName>
    <definedName name="Assets_16_fd3806ec4f9b41d9973ee73fb7c472d0">#REF!</definedName>
    <definedName name="Assets_17_fd3806ec4f9b41d9973ee73fb7c472d0">#REF!</definedName>
    <definedName name="Assets_18_fd3806ec4f9b41d9973ee73fb7c472d0">#REF!</definedName>
    <definedName name="Assets_19_fd3806ec4f9b41d9973ee73fb7c472d0">#REF!</definedName>
    <definedName name="Assets_2_fd3806ec4f9b41d9973ee73fb7c472d0">#REF!</definedName>
    <definedName name="Assets_20_fd3806ec4f9b41d9973ee73fb7c472d0">#REF!</definedName>
    <definedName name="Assets_21_fd3806ec4f9b41d9973ee73fb7c472d0">#REF!</definedName>
    <definedName name="Assets_22_fd3806ec4f9b41d9973ee73fb7c472d0">#REF!</definedName>
    <definedName name="Assets_23_fd3806ec4f9b41d9973ee73fb7c472d0">#REF!</definedName>
    <definedName name="Assets_24_fd3806ec4f9b41d9973ee73fb7c472d0">#REF!</definedName>
    <definedName name="Assets_25_fd3806ec4f9b41d9973ee73fb7c472d0">#REF!</definedName>
    <definedName name="Assets_26_fd3806ec4f9b41d9973ee73fb7c472d0">#REF!</definedName>
    <definedName name="Assets_27_fd3806ec4f9b41d9973ee73fb7c472d0">#REF!</definedName>
    <definedName name="Assets_28_fd3806ec4f9b41d9973ee73fb7c472d0">#REF!</definedName>
    <definedName name="Assets_29_fd3806ec4f9b41d9973ee73fb7c472d0">#REF!</definedName>
    <definedName name="Assets_3_fd3806ec4f9b41d9973ee73fb7c472d0">#REF!</definedName>
    <definedName name="Assets_30_fd3806ec4f9b41d9973ee73fb7c472d0">#REF!</definedName>
    <definedName name="Assets_31_fd3806ec4f9b41d9973ee73fb7c472d0">#REF!</definedName>
    <definedName name="Assets_32_fd3806ec4f9b41d9973ee73fb7c472d0">#REF!</definedName>
    <definedName name="Assets_4_fd3806ec4f9b41d9973ee73fb7c472d0">#REF!</definedName>
    <definedName name="Assets_5_fd3806ec4f9b41d9973ee73fb7c472d0">#REF!</definedName>
    <definedName name="Assets_6_fd3806ec4f9b41d9973ee73fb7c472d0">#REF!</definedName>
    <definedName name="Assets_7_fd3806ec4f9b41d9973ee73fb7c472d0">#REF!</definedName>
    <definedName name="Assets_8_fd3806ec4f9b41d9973ee73fb7c472d0">#REF!</definedName>
    <definedName name="Assets_9_fd3806ec4f9b41d9973ee73fb7c472d0">#REF!</definedName>
    <definedName name="Attestation_1_fd3806ec4f9b41d9973ee73fb7c472d0">#REF!</definedName>
    <definedName name="Attestation_10_fd3806ec4f9b41d9973ee73fb7c472d0">#REF!</definedName>
    <definedName name="Attestation_11_fd3806ec4f9b41d9973ee73fb7c472d0">#REF!</definedName>
    <definedName name="Attestation_12_fd3806ec4f9b41d9973ee73fb7c472d0">#REF!</definedName>
    <definedName name="Attestation_13_fd3806ec4f9b41d9973ee73fb7c472d0">#REF!</definedName>
    <definedName name="Attestation_14_fd3806ec4f9b41d9973ee73fb7c472d0">#REF!</definedName>
    <definedName name="Attestation_15_fd3806ec4f9b41d9973ee73fb7c472d0">#REF!</definedName>
    <definedName name="Attestation_16_fd3806ec4f9b41d9973ee73fb7c472d0">#REF!</definedName>
    <definedName name="Attestation_17_fd3806ec4f9b41d9973ee73fb7c472d0">#REF!</definedName>
    <definedName name="Attestation_18_fd3806ec4f9b41d9973ee73fb7c472d0">#REF!</definedName>
    <definedName name="Attestation_19_fd3806ec4f9b41d9973ee73fb7c472d0">#REF!</definedName>
    <definedName name="Attestation_2_fd3806ec4f9b41d9973ee73fb7c472d0">#REF!</definedName>
    <definedName name="Attestation_20_fd3806ec4f9b41d9973ee73fb7c472d0">#REF!</definedName>
    <definedName name="Attestation_21_fd3806ec4f9b41d9973ee73fb7c472d0">#REF!</definedName>
    <definedName name="Attestation_3_fd3806ec4f9b41d9973ee73fb7c472d0">#REF!</definedName>
    <definedName name="Attestation_4_fd3806ec4f9b41d9973ee73fb7c472d0">#REF!</definedName>
    <definedName name="Attestation_5_fd3806ec4f9b41d9973ee73fb7c472d0">#REF!</definedName>
    <definedName name="Attestation_6_fd3806ec4f9b41d9973ee73fb7c472d0">#REF!</definedName>
    <definedName name="Attestation_7_fd3806ec4f9b41d9973ee73fb7c472d0">#REF!</definedName>
    <definedName name="Attestation_8_fd3806ec4f9b41d9973ee73fb7c472d0">#REF!</definedName>
    <definedName name="Attestation_9_fd3806ec4f9b41d9973ee73fb7c472d0">#REF!</definedName>
    <definedName name="AWAF2">[9]Sheet1!#REF!</definedName>
    <definedName name="AWAFGZ1">[9]Sheet1!#REF!</definedName>
    <definedName name="AWAFGZ2">[9]Sheet1!#REF!</definedName>
    <definedName name="AWSAGZ">[9]Sheet1!#REF!</definedName>
    <definedName name="ax">'[5]raw J1'!$J$82</definedName>
    <definedName name="B">#REF!</definedName>
    <definedName name="baika">[14]目標!$A$1:$G$400</definedName>
    <definedName name="bankholiday">'[15]Bank Holiday'!$B$5:$B$1000</definedName>
    <definedName name="BBB">'[16]"Probablity"'!#REF!</definedName>
    <definedName name="BGN">#REF!</definedName>
    <definedName name="BTG">#REF!</definedName>
    <definedName name="Button_2">"Cost_Reduction_Every_A_List"</definedName>
    <definedName name="CAD">#REF!</definedName>
    <definedName name="Capa_Center">[17]DataGraph!$D$1</definedName>
    <definedName name="Capa_Hand">[17]DataGraph!$B$3</definedName>
    <definedName name="Capa_Hand1">[17]InputPane!$B$8</definedName>
    <definedName name="Capa_MC">[17]DataGraph!$D$3</definedName>
    <definedName name="Capa_MC1">[17]InputPane!$C$8</definedName>
    <definedName name="Capa_Scale_X_Max">[17]DataGraph!$D$206</definedName>
    <definedName name="Capa_Scale_X_Min">[17]DataGraph!$D$205</definedName>
    <definedName name="Capa_Scale_Y_Max">[17]DataGraph!$C$206</definedName>
    <definedName name="Capa_Scale_Y_Min">[17]DataGraph!$C$205</definedName>
    <definedName name="Capa_Value">[17]InputPane!$G$9</definedName>
    <definedName name="ccc">'[16]"Probablity"'!#REF!</definedName>
    <definedName name="CF_Timing_CY_BenPay_Employer">#REF!</definedName>
    <definedName name="CF_Timing_CY_BenPay_Plan">#REF!</definedName>
    <definedName name="CF_Timing_CY_Contr_Employer">#REF!</definedName>
    <definedName name="CF_Timing_CY_Contr_Part">#REF!</definedName>
    <definedName name="CF_Timing_CY_Expense_ExpectedReturn">#REF!</definedName>
    <definedName name="CF_Timing_CY_Expense_SC">#REF!</definedName>
    <definedName name="CF_Timing_CY_RiskPremiums">#REF!</definedName>
    <definedName name="CF_Timing_NY_BenPay_Employer">#REF!</definedName>
    <definedName name="CF_Timing_NY_BenPay_Plan">#REF!</definedName>
    <definedName name="CF_Timing_NY_Contr_Employer">#REF!</definedName>
    <definedName name="CF_Timing_NY_Contr_Part">#REF!</definedName>
    <definedName name="CF_Timing_NY_Expense_ExpectedReturn">#REF!</definedName>
    <definedName name="CF_Timing_NY_Expense_SC">#REF!</definedName>
    <definedName name="CF_Timing_NY_RiskPremiums">#REF!</definedName>
    <definedName name="ch">#REF!</definedName>
    <definedName name="cl">'[5]raw J1'!$A$85</definedName>
    <definedName name="CNY">#REF!</definedName>
    <definedName name="Coef_TanD">[17]DataGraph!$H$205</definedName>
    <definedName name="COGSSGA">'[18]"COGS-SGA by Section"'!$B$2:$C$500</definedName>
    <definedName name="Cons_Capa">#REF!</definedName>
    <definedName name="Cons_TanD">#REF!</definedName>
    <definedName name="Core_TanD">#REF!</definedName>
    <definedName name="Corre_Capa">#REF!</definedName>
    <definedName name="cost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_Reduction_Every_A_List">#REF!</definedName>
    <definedName name="curyear">[19]Variables!$B$4</definedName>
    <definedName name="Cust1_Lookup">[20]LookupTables!$W$1:$Z$527</definedName>
    <definedName name="D">#REF!</definedName>
    <definedName name="D_DF_Total">#REF!</definedName>
    <definedName name="date">#REF!</definedName>
    <definedName name="dd">[21]入力前提!#REF!</definedName>
    <definedName name="DECBONUS">'[18]DEC2014 Bonus'!$B$1:$E$617</definedName>
    <definedName name="Dept_Lookup">[20]LookupTables!$J$1:$O$839</definedName>
    <definedName name="DF_Capa">#REF!</definedName>
    <definedName name="DF_TanD">#REF!</definedName>
    <definedName name="Domestic">'[22]Qty(C)'!$D$15:$U$123</definedName>
    <definedName name="DR_IC_BoY">#REF!</definedName>
    <definedName name="DR_IC_EoY">#REF!</definedName>
    <definedName name="DR_Int_on_1yc_BoY">#REF!</definedName>
    <definedName name="DR_Int_on_1yc_EoY">#REF!</definedName>
    <definedName name="DR_SC_BoY">#REF!</definedName>
    <definedName name="DR_SC_EoY">#REF!</definedName>
    <definedName name="Ｄプロ">#REF!</definedName>
    <definedName name="E">#REF!</definedName>
    <definedName name="eeee">#REF!</definedName>
    <definedName name="efwef">#REF!</definedName>
    <definedName name="ＥＭ">#REF!</definedName>
    <definedName name="ＥＭＣ">#REF!</definedName>
    <definedName name="EMC_LF">#REF!</definedName>
    <definedName name="EMC_NF">#REF!</definedName>
    <definedName name="EMC_SF">#REF!</definedName>
    <definedName name="EMCﾁｯﾌﾟ">#REF!</definedName>
    <definedName name="EMC計測">#REF!</definedName>
    <definedName name="ＥＭＣ部品計">#REF!</definedName>
    <definedName name="ＥＭＤ">#REF!</definedName>
    <definedName name="End_Data_Capa">[17]DataGraph!$F$202</definedName>
    <definedName name="End_Data_TanD">[17]DataGraph!$K$202</definedName>
    <definedName name="EoPsensitivities_1_fd3806ec4f9b41d9973ee73fb7c472d0">#REF!</definedName>
    <definedName name="EoPsensitivities_10_fd3806ec4f9b41d9973ee73fb7c472d0">#REF!</definedName>
    <definedName name="EoPsensitivities_100_fd3806ec4f9b41d9973ee73fb7c472d0">#REF!</definedName>
    <definedName name="EoPsensitivities_101_fd3806ec4f9b41d9973ee73fb7c472d0">#REF!</definedName>
    <definedName name="EoPsensitivities_102_fd3806ec4f9b41d9973ee73fb7c472d0">#REF!</definedName>
    <definedName name="EoPsensitivities_103_fd3806ec4f9b41d9973ee73fb7c472d0">#REF!</definedName>
    <definedName name="EoPsensitivities_104_fd3806ec4f9b41d9973ee73fb7c472d0">#REF!</definedName>
    <definedName name="EoPsensitivities_105_fd3806ec4f9b41d9973ee73fb7c472d0">#REF!</definedName>
    <definedName name="EoPsensitivities_106_fd3806ec4f9b41d9973ee73fb7c472d0">#REF!</definedName>
    <definedName name="EoPsensitivities_107_fd3806ec4f9b41d9973ee73fb7c472d0">#REF!</definedName>
    <definedName name="EoPsensitivities_108_fd3806ec4f9b41d9973ee73fb7c472d0">#REF!</definedName>
    <definedName name="EoPsensitivities_109_fd3806ec4f9b41d9973ee73fb7c472d0">#REF!</definedName>
    <definedName name="EoPsensitivities_11_fd3806ec4f9b41d9973ee73fb7c472d0">#REF!</definedName>
    <definedName name="EoPsensitivities_110_fd3806ec4f9b41d9973ee73fb7c472d0">#REF!</definedName>
    <definedName name="EoPsensitivities_111_fd3806ec4f9b41d9973ee73fb7c472d0">#REF!</definedName>
    <definedName name="EoPsensitivities_112_fd3806ec4f9b41d9973ee73fb7c472d0">#REF!</definedName>
    <definedName name="EoPsensitivities_113_fd3806ec4f9b41d9973ee73fb7c472d0">#REF!</definedName>
    <definedName name="EoPsensitivities_114_fd3806ec4f9b41d9973ee73fb7c472d0">#REF!</definedName>
    <definedName name="EoPsensitivities_115_fd3806ec4f9b41d9973ee73fb7c472d0">#REF!</definedName>
    <definedName name="EoPsensitivities_116_fd3806ec4f9b41d9973ee73fb7c472d0">#REF!</definedName>
    <definedName name="EoPsensitivities_117_fd3806ec4f9b41d9973ee73fb7c472d0">#REF!</definedName>
    <definedName name="EoPsensitivities_118_fd3806ec4f9b41d9973ee73fb7c472d0">#REF!</definedName>
    <definedName name="EoPsensitivities_119_fd3806ec4f9b41d9973ee73fb7c472d0">#REF!</definedName>
    <definedName name="EoPsensitivities_12_fd3806ec4f9b41d9973ee73fb7c472d0">#REF!</definedName>
    <definedName name="EoPsensitivities_120_fd3806ec4f9b41d9973ee73fb7c472d0">#REF!</definedName>
    <definedName name="EoPsensitivities_121_fd3806ec4f9b41d9973ee73fb7c472d0">#REF!</definedName>
    <definedName name="EoPsensitivities_122_fd3806ec4f9b41d9973ee73fb7c472d0">#REF!</definedName>
    <definedName name="EoPsensitivities_123_fd3806ec4f9b41d9973ee73fb7c472d0">#REF!</definedName>
    <definedName name="EoPsensitivities_124_fd3806ec4f9b41d9973ee73fb7c472d0">#REF!</definedName>
    <definedName name="EoPsensitivities_125_fd3806ec4f9b41d9973ee73fb7c472d0">#REF!</definedName>
    <definedName name="EoPsensitivities_126_fd3806ec4f9b41d9973ee73fb7c472d0">#REF!</definedName>
    <definedName name="EoPsensitivities_127_fd3806ec4f9b41d9973ee73fb7c472d0">#REF!</definedName>
    <definedName name="EoPsensitivities_128_fd3806ec4f9b41d9973ee73fb7c472d0">#REF!</definedName>
    <definedName name="EoPsensitivities_129_fd3806ec4f9b41d9973ee73fb7c472d0">#REF!</definedName>
    <definedName name="EoPsensitivities_13_fd3806ec4f9b41d9973ee73fb7c472d0">#REF!</definedName>
    <definedName name="EoPsensitivities_130_fd3806ec4f9b41d9973ee73fb7c472d0">#REF!</definedName>
    <definedName name="EoPsensitivities_131_fd3806ec4f9b41d9973ee73fb7c472d0">#REF!</definedName>
    <definedName name="EoPsensitivities_132_fd3806ec4f9b41d9973ee73fb7c472d0">#REF!</definedName>
    <definedName name="EoPsensitivities_133_fd3806ec4f9b41d9973ee73fb7c472d0">#REF!</definedName>
    <definedName name="EoPsensitivities_134_fd3806ec4f9b41d9973ee73fb7c472d0">#REF!</definedName>
    <definedName name="EoPsensitivities_135_fd3806ec4f9b41d9973ee73fb7c472d0">#REF!</definedName>
    <definedName name="EoPsensitivities_136_fd3806ec4f9b41d9973ee73fb7c472d0">#REF!</definedName>
    <definedName name="EoPsensitivities_137_fd3806ec4f9b41d9973ee73fb7c472d0">#REF!</definedName>
    <definedName name="EoPsensitivities_138_fd3806ec4f9b41d9973ee73fb7c472d0">#REF!</definedName>
    <definedName name="EoPsensitivities_139_fd3806ec4f9b41d9973ee73fb7c472d0">#REF!</definedName>
    <definedName name="EoPsensitivities_14_fd3806ec4f9b41d9973ee73fb7c472d0">#REF!</definedName>
    <definedName name="EoPsensitivities_140_fd3806ec4f9b41d9973ee73fb7c472d0">#REF!</definedName>
    <definedName name="EoPsensitivities_141_fd3806ec4f9b41d9973ee73fb7c472d0">#REF!</definedName>
    <definedName name="EoPsensitivities_142_fd3806ec4f9b41d9973ee73fb7c472d0">#REF!</definedName>
    <definedName name="EoPsensitivities_143_fd3806ec4f9b41d9973ee73fb7c472d0">#REF!</definedName>
    <definedName name="EoPsensitivities_144_fd3806ec4f9b41d9973ee73fb7c472d0">#REF!</definedName>
    <definedName name="EoPsensitivities_145_fd3806ec4f9b41d9973ee73fb7c472d0">#REF!</definedName>
    <definedName name="EoPsensitivities_146_fd3806ec4f9b41d9973ee73fb7c472d0">#REF!</definedName>
    <definedName name="EoPsensitivities_147_fd3806ec4f9b41d9973ee73fb7c472d0">#REF!</definedName>
    <definedName name="EoPsensitivities_148_fd3806ec4f9b41d9973ee73fb7c472d0">#REF!</definedName>
    <definedName name="EoPsensitivities_149_fd3806ec4f9b41d9973ee73fb7c472d0">#REF!</definedName>
    <definedName name="EoPsensitivities_15_fd3806ec4f9b41d9973ee73fb7c472d0">#REF!</definedName>
    <definedName name="EoPsensitivities_150_fd3806ec4f9b41d9973ee73fb7c472d0">#REF!</definedName>
    <definedName name="EoPsensitivities_151_fd3806ec4f9b41d9973ee73fb7c472d0">#REF!</definedName>
    <definedName name="EoPsensitivities_152_fd3806ec4f9b41d9973ee73fb7c472d0">#REF!</definedName>
    <definedName name="EoPsensitivities_16_fd3806ec4f9b41d9973ee73fb7c472d0">#REF!</definedName>
    <definedName name="EoPsensitivities_17_fd3806ec4f9b41d9973ee73fb7c472d0">#REF!</definedName>
    <definedName name="EoPsensitivities_18_fd3806ec4f9b41d9973ee73fb7c472d0">#REF!</definedName>
    <definedName name="EoPsensitivities_19_fd3806ec4f9b41d9973ee73fb7c472d0">#REF!</definedName>
    <definedName name="EoPsensitivities_2_fd3806ec4f9b41d9973ee73fb7c472d0">#REF!</definedName>
    <definedName name="EoPsensitivities_20_fd3806ec4f9b41d9973ee73fb7c472d0">#REF!</definedName>
    <definedName name="EoPsensitivities_21_fd3806ec4f9b41d9973ee73fb7c472d0">#REF!</definedName>
    <definedName name="EoPsensitivities_22_fd3806ec4f9b41d9973ee73fb7c472d0">#REF!</definedName>
    <definedName name="EoPsensitivities_23_fd3806ec4f9b41d9973ee73fb7c472d0">#REF!</definedName>
    <definedName name="EoPsensitivities_24_fd3806ec4f9b41d9973ee73fb7c472d0">#REF!</definedName>
    <definedName name="EoPsensitivities_25_fd3806ec4f9b41d9973ee73fb7c472d0">#REF!</definedName>
    <definedName name="EoPsensitivities_26_fd3806ec4f9b41d9973ee73fb7c472d0">#REF!</definedName>
    <definedName name="EoPsensitivities_27_fd3806ec4f9b41d9973ee73fb7c472d0">#REF!</definedName>
    <definedName name="EoPsensitivities_28_fd3806ec4f9b41d9973ee73fb7c472d0">#REF!</definedName>
    <definedName name="EoPsensitivities_29_fd3806ec4f9b41d9973ee73fb7c472d0">#REF!</definedName>
    <definedName name="EoPsensitivities_3_fd3806ec4f9b41d9973ee73fb7c472d0">#REF!</definedName>
    <definedName name="EoPsensitivities_30_fd3806ec4f9b41d9973ee73fb7c472d0">#REF!</definedName>
    <definedName name="EoPsensitivities_31_fd3806ec4f9b41d9973ee73fb7c472d0">#REF!</definedName>
    <definedName name="EoPsensitivities_32_fd3806ec4f9b41d9973ee73fb7c472d0">#REF!</definedName>
    <definedName name="EoPsensitivities_33_fd3806ec4f9b41d9973ee73fb7c472d0">#REF!</definedName>
    <definedName name="EoPsensitivities_34_fd3806ec4f9b41d9973ee73fb7c472d0">#REF!</definedName>
    <definedName name="EoPsensitivities_35_fd3806ec4f9b41d9973ee73fb7c472d0">#REF!</definedName>
    <definedName name="EoPsensitivities_36_fd3806ec4f9b41d9973ee73fb7c472d0">#REF!</definedName>
    <definedName name="EoPsensitivities_37_fd3806ec4f9b41d9973ee73fb7c472d0">#REF!</definedName>
    <definedName name="EoPsensitivities_38_fd3806ec4f9b41d9973ee73fb7c472d0">#REF!</definedName>
    <definedName name="EoPsensitivities_39_fd3806ec4f9b41d9973ee73fb7c472d0">#REF!</definedName>
    <definedName name="EoPsensitivities_4_fd3806ec4f9b41d9973ee73fb7c472d0">#REF!</definedName>
    <definedName name="EoPsensitivities_40_fd3806ec4f9b41d9973ee73fb7c472d0">#REF!</definedName>
    <definedName name="EoPsensitivities_41_fd3806ec4f9b41d9973ee73fb7c472d0">#REF!</definedName>
    <definedName name="EoPsensitivities_42_fd3806ec4f9b41d9973ee73fb7c472d0">#REF!</definedName>
    <definedName name="EoPsensitivities_43_fd3806ec4f9b41d9973ee73fb7c472d0">#REF!</definedName>
    <definedName name="EoPsensitivities_44_fd3806ec4f9b41d9973ee73fb7c472d0">#REF!</definedName>
    <definedName name="EoPsensitivities_45_fd3806ec4f9b41d9973ee73fb7c472d0">#REF!</definedName>
    <definedName name="EoPsensitivities_46_fd3806ec4f9b41d9973ee73fb7c472d0">#REF!</definedName>
    <definedName name="EoPsensitivities_47_fd3806ec4f9b41d9973ee73fb7c472d0">#REF!</definedName>
    <definedName name="EoPsensitivities_48_fd3806ec4f9b41d9973ee73fb7c472d0">#REF!</definedName>
    <definedName name="EoPsensitivities_49_fd3806ec4f9b41d9973ee73fb7c472d0">#REF!</definedName>
    <definedName name="EoPsensitivities_5_fd3806ec4f9b41d9973ee73fb7c472d0">#REF!</definedName>
    <definedName name="EoPsensitivities_50_fd3806ec4f9b41d9973ee73fb7c472d0">#REF!</definedName>
    <definedName name="EoPsensitivities_51_fd3806ec4f9b41d9973ee73fb7c472d0">#REF!</definedName>
    <definedName name="EoPsensitivities_52_fd3806ec4f9b41d9973ee73fb7c472d0">#REF!</definedName>
    <definedName name="EoPsensitivities_53_fd3806ec4f9b41d9973ee73fb7c472d0">#REF!</definedName>
    <definedName name="EoPsensitivities_54_fd3806ec4f9b41d9973ee73fb7c472d0">#REF!</definedName>
    <definedName name="EoPsensitivities_55_fd3806ec4f9b41d9973ee73fb7c472d0">#REF!</definedName>
    <definedName name="EoPsensitivities_56_fd3806ec4f9b41d9973ee73fb7c472d0">#REF!</definedName>
    <definedName name="EoPsensitivities_57_fd3806ec4f9b41d9973ee73fb7c472d0">#REF!</definedName>
    <definedName name="EoPsensitivities_58_fd3806ec4f9b41d9973ee73fb7c472d0">#REF!</definedName>
    <definedName name="EoPsensitivities_59_fd3806ec4f9b41d9973ee73fb7c472d0">#REF!</definedName>
    <definedName name="EoPsensitivities_6_fd3806ec4f9b41d9973ee73fb7c472d0">#REF!</definedName>
    <definedName name="EoPsensitivities_60_fd3806ec4f9b41d9973ee73fb7c472d0">#REF!</definedName>
    <definedName name="EoPsensitivities_61_fd3806ec4f9b41d9973ee73fb7c472d0">#REF!</definedName>
    <definedName name="EoPsensitivities_62_fd3806ec4f9b41d9973ee73fb7c472d0">#REF!</definedName>
    <definedName name="EoPsensitivities_63_fd3806ec4f9b41d9973ee73fb7c472d0">#REF!</definedName>
    <definedName name="EoPsensitivities_64_fd3806ec4f9b41d9973ee73fb7c472d0">#REF!</definedName>
    <definedName name="EoPsensitivities_65_fd3806ec4f9b41d9973ee73fb7c472d0">#REF!</definedName>
    <definedName name="EoPsensitivities_66_fd3806ec4f9b41d9973ee73fb7c472d0">#REF!</definedName>
    <definedName name="EoPsensitivities_67_fd3806ec4f9b41d9973ee73fb7c472d0">#REF!</definedName>
    <definedName name="EoPsensitivities_68_fd3806ec4f9b41d9973ee73fb7c472d0">#REF!</definedName>
    <definedName name="EoPsensitivities_69_fd3806ec4f9b41d9973ee73fb7c472d0">#REF!</definedName>
    <definedName name="EoPsensitivities_7_fd3806ec4f9b41d9973ee73fb7c472d0">#REF!</definedName>
    <definedName name="EoPsensitivities_70_fd3806ec4f9b41d9973ee73fb7c472d0">#REF!</definedName>
    <definedName name="EoPsensitivities_71_fd3806ec4f9b41d9973ee73fb7c472d0">#REF!</definedName>
    <definedName name="EoPsensitivities_72_fd3806ec4f9b41d9973ee73fb7c472d0">#REF!</definedName>
    <definedName name="EoPsensitivities_73_fd3806ec4f9b41d9973ee73fb7c472d0">#REF!</definedName>
    <definedName name="EoPsensitivities_74_fd3806ec4f9b41d9973ee73fb7c472d0">#REF!</definedName>
    <definedName name="EoPsensitivities_75_fd3806ec4f9b41d9973ee73fb7c472d0">#REF!</definedName>
    <definedName name="EoPsensitivities_76_fd3806ec4f9b41d9973ee73fb7c472d0">#REF!</definedName>
    <definedName name="EoPsensitivities_77_fd3806ec4f9b41d9973ee73fb7c472d0">#REF!</definedName>
    <definedName name="EoPsensitivities_78_fd3806ec4f9b41d9973ee73fb7c472d0">#REF!</definedName>
    <definedName name="EoPsensitivities_79_fd3806ec4f9b41d9973ee73fb7c472d0">#REF!</definedName>
    <definedName name="EoPsensitivities_8_fd3806ec4f9b41d9973ee73fb7c472d0">#REF!</definedName>
    <definedName name="EoPsensitivities_80_fd3806ec4f9b41d9973ee73fb7c472d0">#REF!</definedName>
    <definedName name="EoPsensitivities_81_fd3806ec4f9b41d9973ee73fb7c472d0">#REF!</definedName>
    <definedName name="EoPsensitivities_82_fd3806ec4f9b41d9973ee73fb7c472d0">#REF!</definedName>
    <definedName name="EoPsensitivities_83_fd3806ec4f9b41d9973ee73fb7c472d0">#REF!</definedName>
    <definedName name="EoPsensitivities_84_fd3806ec4f9b41d9973ee73fb7c472d0">#REF!</definedName>
    <definedName name="EoPsensitivities_85_fd3806ec4f9b41d9973ee73fb7c472d0">#REF!</definedName>
    <definedName name="EoPsensitivities_86_fd3806ec4f9b41d9973ee73fb7c472d0">#REF!</definedName>
    <definedName name="EoPsensitivities_87_fd3806ec4f9b41d9973ee73fb7c472d0">#REF!</definedName>
    <definedName name="EoPsensitivities_88_fd3806ec4f9b41d9973ee73fb7c472d0">#REF!</definedName>
    <definedName name="EoPsensitivities_89_fd3806ec4f9b41d9973ee73fb7c472d0">#REF!</definedName>
    <definedName name="EoPsensitivities_9_fd3806ec4f9b41d9973ee73fb7c472d0">#REF!</definedName>
    <definedName name="EoPsensitivities_90_fd3806ec4f9b41d9973ee73fb7c472d0">#REF!</definedName>
    <definedName name="EoPsensitivities_91_fd3806ec4f9b41d9973ee73fb7c472d0">#REF!</definedName>
    <definedName name="EoPsensitivities_92_fd3806ec4f9b41d9973ee73fb7c472d0">#REF!</definedName>
    <definedName name="EoPsensitivities_93_fd3806ec4f9b41d9973ee73fb7c472d0">#REF!</definedName>
    <definedName name="EoPsensitivities_94_fd3806ec4f9b41d9973ee73fb7c472d0">#REF!</definedName>
    <definedName name="EoPsensitivities_95_fd3806ec4f9b41d9973ee73fb7c472d0">#REF!</definedName>
    <definedName name="EoPsensitivities_96_fd3806ec4f9b41d9973ee73fb7c472d0">#REF!</definedName>
    <definedName name="EoPsensitivities_97_fd3806ec4f9b41d9973ee73fb7c472d0">#REF!</definedName>
    <definedName name="EoPsensitivities_98_fd3806ec4f9b41d9973ee73fb7c472d0">#REF!</definedName>
    <definedName name="EoPsensitivities_99_fd3806ec4f9b41d9973ee73fb7c472d0">#REF!</definedName>
    <definedName name="EUR">#REF!</definedName>
    <definedName name="Ext_Number">#REF!</definedName>
    <definedName name="Ext_Number_1">#REF!</definedName>
    <definedName name="Ext_Number_2">#REF!</definedName>
    <definedName name="F">#REF!</definedName>
    <definedName name="FA">#REF!</definedName>
    <definedName name="Fullyeardisclosurecurrentfinancialyear_1_fd3806ec4f9b41d9973ee73fb7c472d0">#REF!</definedName>
    <definedName name="Fullyeardisclosurecurrentfinancialyear_10_fd3806ec4f9b41d9973ee73fb7c472d0">#REF!</definedName>
    <definedName name="Fullyeardisclosurecurrentfinancialyear_100_fd3806ec4f9b41d9973ee73fb7c472d0">#REF!</definedName>
    <definedName name="Fullyeardisclosurecurrentfinancialyear_101_fd3806ec4f9b41d9973ee73fb7c472d0">#REF!</definedName>
    <definedName name="Fullyeardisclosurecurrentfinancialyear_102_fd3806ec4f9b41d9973ee73fb7c472d0">#REF!</definedName>
    <definedName name="Fullyeardisclosurecurrentfinancialyear_103_fd3806ec4f9b41d9973ee73fb7c472d0">#REF!</definedName>
    <definedName name="Fullyeardisclosurecurrentfinancialyear_104_fd3806ec4f9b41d9973ee73fb7c472d0">#REF!</definedName>
    <definedName name="Fullyeardisclosurecurrentfinancialyear_105_fd3806ec4f9b41d9973ee73fb7c472d0">#REF!</definedName>
    <definedName name="Fullyeardisclosurecurrentfinancialyear_106_fd3806ec4f9b41d9973ee73fb7c472d0">#REF!</definedName>
    <definedName name="Fullyeardisclosurecurrentfinancialyear_107_fd3806ec4f9b41d9973ee73fb7c472d0">#REF!</definedName>
    <definedName name="Fullyeardisclosurecurrentfinancialyear_108_fd3806ec4f9b41d9973ee73fb7c472d0">#REF!</definedName>
    <definedName name="Fullyeardisclosurecurrentfinancialyear_109_fd3806ec4f9b41d9973ee73fb7c472d0">#REF!</definedName>
    <definedName name="Fullyeardisclosurecurrentfinancialyear_11_fd3806ec4f9b41d9973ee73fb7c472d0">#REF!</definedName>
    <definedName name="Fullyeardisclosurecurrentfinancialyear_110_fd3806ec4f9b41d9973ee73fb7c472d0">#REF!</definedName>
    <definedName name="Fullyeardisclosurecurrentfinancialyear_111_fd3806ec4f9b41d9973ee73fb7c472d0">#REF!</definedName>
    <definedName name="Fullyeardisclosurecurrentfinancialyear_112_fd3806ec4f9b41d9973ee73fb7c472d0">#REF!</definedName>
    <definedName name="Fullyeardisclosurecurrentfinancialyear_113_fd3806ec4f9b41d9973ee73fb7c472d0">#REF!</definedName>
    <definedName name="Fullyeardisclosurecurrentfinancialyear_114_fd3806ec4f9b41d9973ee73fb7c472d0">#REF!</definedName>
    <definedName name="Fullyeardisclosurecurrentfinancialyear_115_fd3806ec4f9b41d9973ee73fb7c472d0">#REF!</definedName>
    <definedName name="Fullyeardisclosurecurrentfinancialyear_116_fd3806ec4f9b41d9973ee73fb7c472d0">#REF!</definedName>
    <definedName name="Fullyeardisclosurecurrentfinancialyear_117_fd3806ec4f9b41d9973ee73fb7c472d0">#REF!</definedName>
    <definedName name="Fullyeardisclosurecurrentfinancialyear_118_fd3806ec4f9b41d9973ee73fb7c472d0">#REF!</definedName>
    <definedName name="Fullyeardisclosurecurrentfinancialyear_119_fd3806ec4f9b41d9973ee73fb7c472d0">#REF!</definedName>
    <definedName name="Fullyeardisclosurecurrentfinancialyear_12_fd3806ec4f9b41d9973ee73fb7c472d0">#REF!</definedName>
    <definedName name="Fullyeardisclosurecurrentfinancialyear_120_fd3806ec4f9b41d9973ee73fb7c472d0">#REF!</definedName>
    <definedName name="Fullyeardisclosurecurrentfinancialyear_121_fd3806ec4f9b41d9973ee73fb7c472d0">#REF!</definedName>
    <definedName name="Fullyeardisclosurecurrentfinancialyear_122_fd3806ec4f9b41d9973ee73fb7c472d0">#REF!</definedName>
    <definedName name="Fullyeardisclosurecurrentfinancialyear_123_fd3806ec4f9b41d9973ee73fb7c472d0">#REF!</definedName>
    <definedName name="Fullyeardisclosurecurrentfinancialyear_124_fd3806ec4f9b41d9973ee73fb7c472d0">#REF!</definedName>
    <definedName name="Fullyeardisclosurecurrentfinancialyear_125_fd3806ec4f9b41d9973ee73fb7c472d0">#REF!</definedName>
    <definedName name="Fullyeardisclosurecurrentfinancialyear_126_fd3806ec4f9b41d9973ee73fb7c472d0">#REF!</definedName>
    <definedName name="Fullyeardisclosurecurrentfinancialyear_127_fd3806ec4f9b41d9973ee73fb7c472d0">#REF!</definedName>
    <definedName name="Fullyeardisclosurecurrentfinancialyear_128_fd3806ec4f9b41d9973ee73fb7c472d0">#REF!</definedName>
    <definedName name="Fullyeardisclosurecurrentfinancialyear_129_fd3806ec4f9b41d9973ee73fb7c472d0">#REF!</definedName>
    <definedName name="Fullyeardisclosurecurrentfinancialyear_13_fd3806ec4f9b41d9973ee73fb7c472d0">#REF!</definedName>
    <definedName name="Fullyeardisclosurecurrentfinancialyear_130_fd3806ec4f9b41d9973ee73fb7c472d0">#REF!</definedName>
    <definedName name="Fullyeardisclosurecurrentfinancialyear_131_fd3806ec4f9b41d9973ee73fb7c472d0">#REF!</definedName>
    <definedName name="Fullyeardisclosurecurrentfinancialyear_132_fd3806ec4f9b41d9973ee73fb7c472d0">#REF!</definedName>
    <definedName name="Fullyeardisclosurecurrentfinancialyear_133_fd3806ec4f9b41d9973ee73fb7c472d0">#REF!</definedName>
    <definedName name="Fullyeardisclosurecurrentfinancialyear_134_fd3806ec4f9b41d9973ee73fb7c472d0">#REF!</definedName>
    <definedName name="Fullyeardisclosurecurrentfinancialyear_135_fd3806ec4f9b41d9973ee73fb7c472d0">#REF!</definedName>
    <definedName name="Fullyeardisclosurecurrentfinancialyear_136_fd3806ec4f9b41d9973ee73fb7c472d0">#REF!</definedName>
    <definedName name="Fullyeardisclosurecurrentfinancialyear_137_fd3806ec4f9b41d9973ee73fb7c472d0">#REF!</definedName>
    <definedName name="Fullyeardisclosurecurrentfinancialyear_138_fd3806ec4f9b41d9973ee73fb7c472d0">#REF!</definedName>
    <definedName name="Fullyeardisclosurecurrentfinancialyear_139_fd3806ec4f9b41d9973ee73fb7c472d0">#REF!</definedName>
    <definedName name="Fullyeardisclosurecurrentfinancialyear_14_fd3806ec4f9b41d9973ee73fb7c472d0">#REF!</definedName>
    <definedName name="Fullyeardisclosurecurrentfinancialyear_140_fd3806ec4f9b41d9973ee73fb7c472d0">#REF!</definedName>
    <definedName name="Fullyeardisclosurecurrentfinancialyear_141_fd3806ec4f9b41d9973ee73fb7c472d0">#REF!</definedName>
    <definedName name="Fullyeardisclosurecurrentfinancialyear_142_fd3806ec4f9b41d9973ee73fb7c472d0">#REF!</definedName>
    <definedName name="Fullyeardisclosurecurrentfinancialyear_143_fd3806ec4f9b41d9973ee73fb7c472d0">#REF!</definedName>
    <definedName name="Fullyeardisclosurecurrentfinancialyear_144_fd3806ec4f9b41d9973ee73fb7c472d0">#REF!</definedName>
    <definedName name="Fullyeardisclosurecurrentfinancialyear_145_fd3806ec4f9b41d9973ee73fb7c472d0">#REF!</definedName>
    <definedName name="Fullyeardisclosurecurrentfinancialyear_146_fd3806ec4f9b41d9973ee73fb7c472d0">#REF!</definedName>
    <definedName name="Fullyeardisclosurecurrentfinancialyear_147_fd3806ec4f9b41d9973ee73fb7c472d0">#REF!</definedName>
    <definedName name="Fullyeardisclosurecurrentfinancialyear_148_fd3806ec4f9b41d9973ee73fb7c472d0">#REF!</definedName>
    <definedName name="Fullyeardisclosurecurrentfinancialyear_149_fd3806ec4f9b41d9973ee73fb7c472d0">#REF!</definedName>
    <definedName name="Fullyeardisclosurecurrentfinancialyear_15_fd3806ec4f9b41d9973ee73fb7c472d0">#REF!</definedName>
    <definedName name="Fullyeardisclosurecurrentfinancialyear_150_fd3806ec4f9b41d9973ee73fb7c472d0">#REF!</definedName>
    <definedName name="Fullyeardisclosurecurrentfinancialyear_151_fd3806ec4f9b41d9973ee73fb7c472d0">#REF!</definedName>
    <definedName name="Fullyeardisclosurecurrentfinancialyear_152_fd3806ec4f9b41d9973ee73fb7c472d0">#REF!</definedName>
    <definedName name="Fullyeardisclosurecurrentfinancialyear_153_fd3806ec4f9b41d9973ee73fb7c472d0">#REF!</definedName>
    <definedName name="Fullyeardisclosurecurrentfinancialyear_154_fd3806ec4f9b41d9973ee73fb7c472d0">#REF!</definedName>
    <definedName name="Fullyeardisclosurecurrentfinancialyear_155_fd3806ec4f9b41d9973ee73fb7c472d0">#REF!</definedName>
    <definedName name="Fullyeardisclosurecurrentfinancialyear_156_fd3806ec4f9b41d9973ee73fb7c472d0">#REF!</definedName>
    <definedName name="Fullyeardisclosurecurrentfinancialyear_157_fd3806ec4f9b41d9973ee73fb7c472d0">#REF!</definedName>
    <definedName name="Fullyeardisclosurecurrentfinancialyear_158_fd3806ec4f9b41d9973ee73fb7c472d0">#REF!</definedName>
    <definedName name="Fullyeardisclosurecurrentfinancialyear_159_fd3806ec4f9b41d9973ee73fb7c472d0">#REF!</definedName>
    <definedName name="Fullyeardisclosurecurrentfinancialyear_16_fd3806ec4f9b41d9973ee73fb7c472d0">#REF!</definedName>
    <definedName name="Fullyeardisclosurecurrentfinancialyear_160_fd3806ec4f9b41d9973ee73fb7c472d0">#REF!</definedName>
    <definedName name="Fullyeardisclosurecurrentfinancialyear_161_fd3806ec4f9b41d9973ee73fb7c472d0">#REF!</definedName>
    <definedName name="Fullyeardisclosurecurrentfinancialyear_162_fd3806ec4f9b41d9973ee73fb7c472d0">#REF!</definedName>
    <definedName name="Fullyeardisclosurecurrentfinancialyear_163_fd3806ec4f9b41d9973ee73fb7c472d0">#REF!</definedName>
    <definedName name="Fullyeardisclosurecurrentfinancialyear_164_fd3806ec4f9b41d9973ee73fb7c472d0">#REF!</definedName>
    <definedName name="Fullyeardisclosurecurrentfinancialyear_165_fd3806ec4f9b41d9973ee73fb7c472d0">#REF!</definedName>
    <definedName name="Fullyeardisclosurecurrentfinancialyear_166_fd3806ec4f9b41d9973ee73fb7c472d0">#REF!</definedName>
    <definedName name="Fullyeardisclosurecurrentfinancialyear_167_fd3806ec4f9b41d9973ee73fb7c472d0">#REF!</definedName>
    <definedName name="Fullyeardisclosurecurrentfinancialyear_168_fd3806ec4f9b41d9973ee73fb7c472d0">#REF!</definedName>
    <definedName name="Fullyeardisclosurecurrentfinancialyear_169_fd3806ec4f9b41d9973ee73fb7c472d0">#REF!</definedName>
    <definedName name="Fullyeardisclosurecurrentfinancialyear_17_fd3806ec4f9b41d9973ee73fb7c472d0">#REF!</definedName>
    <definedName name="Fullyeardisclosurecurrentfinancialyear_170_fd3806ec4f9b41d9973ee73fb7c472d0">#REF!</definedName>
    <definedName name="Fullyeardisclosurecurrentfinancialyear_171_fd3806ec4f9b41d9973ee73fb7c472d0">#REF!</definedName>
    <definedName name="Fullyeardisclosurecurrentfinancialyear_172_fd3806ec4f9b41d9973ee73fb7c472d0">#REF!</definedName>
    <definedName name="Fullyeardisclosurecurrentfinancialyear_173_fd3806ec4f9b41d9973ee73fb7c472d0">#REF!</definedName>
    <definedName name="Fullyeardisclosurecurrentfinancialyear_174_fd3806ec4f9b41d9973ee73fb7c472d0">#REF!</definedName>
    <definedName name="Fullyeardisclosurecurrentfinancialyear_175_fd3806ec4f9b41d9973ee73fb7c472d0">#REF!</definedName>
    <definedName name="Fullyeardisclosurecurrentfinancialyear_176_fd3806ec4f9b41d9973ee73fb7c472d0">#REF!</definedName>
    <definedName name="Fullyeardisclosurecurrentfinancialyear_177_fd3806ec4f9b41d9973ee73fb7c472d0">#REF!</definedName>
    <definedName name="Fullyeardisclosurecurrentfinancialyear_178_fd3806ec4f9b41d9973ee73fb7c472d0">#REF!</definedName>
    <definedName name="Fullyeardisclosurecurrentfinancialyear_179_fd3806ec4f9b41d9973ee73fb7c472d0">#REF!</definedName>
    <definedName name="Fullyeardisclosurecurrentfinancialyear_18_fd3806ec4f9b41d9973ee73fb7c472d0">#REF!</definedName>
    <definedName name="Fullyeardisclosurecurrentfinancialyear_180_fd3806ec4f9b41d9973ee73fb7c472d0">#REF!</definedName>
    <definedName name="Fullyeardisclosurecurrentfinancialyear_181_fd3806ec4f9b41d9973ee73fb7c472d0">#REF!</definedName>
    <definedName name="Fullyeardisclosurecurrentfinancialyear_182_fd3806ec4f9b41d9973ee73fb7c472d0">#REF!</definedName>
    <definedName name="Fullyeardisclosurecurrentfinancialyear_183_fd3806ec4f9b41d9973ee73fb7c472d0">#REF!</definedName>
    <definedName name="Fullyeardisclosurecurrentfinancialyear_184_fd3806ec4f9b41d9973ee73fb7c472d0">#REF!</definedName>
    <definedName name="Fullyeardisclosurecurrentfinancialyear_185_fd3806ec4f9b41d9973ee73fb7c472d0">#REF!</definedName>
    <definedName name="Fullyeardisclosurecurrentfinancialyear_186_fd3806ec4f9b41d9973ee73fb7c472d0">#REF!</definedName>
    <definedName name="Fullyeardisclosurecurrentfinancialyear_187_fd3806ec4f9b41d9973ee73fb7c472d0">#REF!</definedName>
    <definedName name="Fullyeardisclosurecurrentfinancialyear_188_fd3806ec4f9b41d9973ee73fb7c472d0">#REF!</definedName>
    <definedName name="Fullyeardisclosurecurrentfinancialyear_189_fd3806ec4f9b41d9973ee73fb7c472d0">#REF!</definedName>
    <definedName name="Fullyeardisclosurecurrentfinancialyear_19_fd3806ec4f9b41d9973ee73fb7c472d0">#REF!</definedName>
    <definedName name="Fullyeardisclosurecurrentfinancialyear_190_fd3806ec4f9b41d9973ee73fb7c472d0">#REF!</definedName>
    <definedName name="Fullyeardisclosurecurrentfinancialyear_191_fd3806ec4f9b41d9973ee73fb7c472d0">#REF!</definedName>
    <definedName name="Fullyeardisclosurecurrentfinancialyear_192_fd3806ec4f9b41d9973ee73fb7c472d0">#REF!</definedName>
    <definedName name="Fullyeardisclosurecurrentfinancialyear_193_fd3806ec4f9b41d9973ee73fb7c472d0">#REF!</definedName>
    <definedName name="Fullyeardisclosurecurrentfinancialyear_194_fd3806ec4f9b41d9973ee73fb7c472d0">#REF!</definedName>
    <definedName name="Fullyeardisclosurecurrentfinancialyear_195_fd3806ec4f9b41d9973ee73fb7c472d0">#REF!</definedName>
    <definedName name="Fullyeardisclosurecurrentfinancialyear_196_fd3806ec4f9b41d9973ee73fb7c472d0">#REF!</definedName>
    <definedName name="Fullyeardisclosurecurrentfinancialyear_197_fd3806ec4f9b41d9973ee73fb7c472d0">#REF!</definedName>
    <definedName name="Fullyeardisclosurecurrentfinancialyear_198_fd3806ec4f9b41d9973ee73fb7c472d0">#REF!</definedName>
    <definedName name="Fullyeardisclosurecurrentfinancialyear_199_fd3806ec4f9b41d9973ee73fb7c472d0">#REF!</definedName>
    <definedName name="Fullyeardisclosurecurrentfinancialyear_2_fd3806ec4f9b41d9973ee73fb7c472d0">#REF!</definedName>
    <definedName name="Fullyeardisclosurecurrentfinancialyear_20_fd3806ec4f9b41d9973ee73fb7c472d0">#REF!</definedName>
    <definedName name="Fullyeardisclosurecurrentfinancialyear_200_fd3806ec4f9b41d9973ee73fb7c472d0">#REF!</definedName>
    <definedName name="Fullyeardisclosurecurrentfinancialyear_201_fd3806ec4f9b41d9973ee73fb7c472d0">#REF!</definedName>
    <definedName name="Fullyeardisclosurecurrentfinancialyear_202_fd3806ec4f9b41d9973ee73fb7c472d0">#REF!</definedName>
    <definedName name="Fullyeardisclosurecurrentfinancialyear_203_fd3806ec4f9b41d9973ee73fb7c472d0">#REF!</definedName>
    <definedName name="Fullyeardisclosurecurrentfinancialyear_204_fd3806ec4f9b41d9973ee73fb7c472d0">#REF!</definedName>
    <definedName name="Fullyeardisclosurecurrentfinancialyear_205_fd3806ec4f9b41d9973ee73fb7c472d0">#REF!</definedName>
    <definedName name="Fullyeardisclosurecurrentfinancialyear_21_fd3806ec4f9b41d9973ee73fb7c472d0">#REF!</definedName>
    <definedName name="Fullyeardisclosurecurrentfinancialyear_22_fd3806ec4f9b41d9973ee73fb7c472d0">#REF!</definedName>
    <definedName name="Fullyeardisclosurecurrentfinancialyear_23_fd3806ec4f9b41d9973ee73fb7c472d0">#REF!</definedName>
    <definedName name="Fullyeardisclosurecurrentfinancialyear_24_fd3806ec4f9b41d9973ee73fb7c472d0">#REF!</definedName>
    <definedName name="Fullyeardisclosurecurrentfinancialyear_25_fd3806ec4f9b41d9973ee73fb7c472d0">#REF!</definedName>
    <definedName name="Fullyeardisclosurecurrentfinancialyear_26_fd3806ec4f9b41d9973ee73fb7c472d0">#REF!</definedName>
    <definedName name="Fullyeardisclosurecurrentfinancialyear_27_fd3806ec4f9b41d9973ee73fb7c472d0">#REF!</definedName>
    <definedName name="Fullyeardisclosurecurrentfinancialyear_28_fd3806ec4f9b41d9973ee73fb7c472d0">#REF!</definedName>
    <definedName name="Fullyeardisclosurecurrentfinancialyear_29_fd3806ec4f9b41d9973ee73fb7c472d0">#REF!</definedName>
    <definedName name="Fullyeardisclosurecurrentfinancialyear_3_fd3806ec4f9b41d9973ee73fb7c472d0">#REF!</definedName>
    <definedName name="Fullyeardisclosurecurrentfinancialyear_30_fd3806ec4f9b41d9973ee73fb7c472d0">#REF!</definedName>
    <definedName name="Fullyeardisclosurecurrentfinancialyear_31_fd3806ec4f9b41d9973ee73fb7c472d0">#REF!</definedName>
    <definedName name="Fullyeardisclosurecurrentfinancialyear_32_fd3806ec4f9b41d9973ee73fb7c472d0">#REF!</definedName>
    <definedName name="Fullyeardisclosurecurrentfinancialyear_33_fd3806ec4f9b41d9973ee73fb7c472d0">#REF!</definedName>
    <definedName name="Fullyeardisclosurecurrentfinancialyear_34_fd3806ec4f9b41d9973ee73fb7c472d0">#REF!</definedName>
    <definedName name="Fullyeardisclosurecurrentfinancialyear_35_fd3806ec4f9b41d9973ee73fb7c472d0">#REF!</definedName>
    <definedName name="Fullyeardisclosurecurrentfinancialyear_36_fd3806ec4f9b41d9973ee73fb7c472d0">#REF!</definedName>
    <definedName name="Fullyeardisclosurecurrentfinancialyear_37_fd3806ec4f9b41d9973ee73fb7c472d0">#REF!</definedName>
    <definedName name="Fullyeardisclosurecurrentfinancialyear_38_fd3806ec4f9b41d9973ee73fb7c472d0">#REF!</definedName>
    <definedName name="Fullyeardisclosurecurrentfinancialyear_39_fd3806ec4f9b41d9973ee73fb7c472d0">#REF!</definedName>
    <definedName name="Fullyeardisclosurecurrentfinancialyear_4_fd3806ec4f9b41d9973ee73fb7c472d0">#REF!</definedName>
    <definedName name="Fullyeardisclosurecurrentfinancialyear_40_fd3806ec4f9b41d9973ee73fb7c472d0">#REF!</definedName>
    <definedName name="Fullyeardisclosurecurrentfinancialyear_41_fd3806ec4f9b41d9973ee73fb7c472d0">#REF!</definedName>
    <definedName name="Fullyeardisclosurecurrentfinancialyear_42_fd3806ec4f9b41d9973ee73fb7c472d0">#REF!</definedName>
    <definedName name="Fullyeardisclosurecurrentfinancialyear_43_fd3806ec4f9b41d9973ee73fb7c472d0">#REF!</definedName>
    <definedName name="Fullyeardisclosurecurrentfinancialyear_44_fd3806ec4f9b41d9973ee73fb7c472d0">#REF!</definedName>
    <definedName name="Fullyeardisclosurecurrentfinancialyear_45_fd3806ec4f9b41d9973ee73fb7c472d0">#REF!</definedName>
    <definedName name="Fullyeardisclosurecurrentfinancialyear_46_fd3806ec4f9b41d9973ee73fb7c472d0">#REF!</definedName>
    <definedName name="Fullyeardisclosurecurrentfinancialyear_47_fd3806ec4f9b41d9973ee73fb7c472d0">#REF!</definedName>
    <definedName name="Fullyeardisclosurecurrentfinancialyear_48_fd3806ec4f9b41d9973ee73fb7c472d0">#REF!</definedName>
    <definedName name="Fullyeardisclosurecurrentfinancialyear_49_fd3806ec4f9b41d9973ee73fb7c472d0">#REF!</definedName>
    <definedName name="Fullyeardisclosurecurrentfinancialyear_5_fd3806ec4f9b41d9973ee73fb7c472d0">#REF!</definedName>
    <definedName name="Fullyeardisclosurecurrentfinancialyear_50_fd3806ec4f9b41d9973ee73fb7c472d0">#REF!</definedName>
    <definedName name="Fullyeardisclosurecurrentfinancialyear_51_fd3806ec4f9b41d9973ee73fb7c472d0">#REF!</definedName>
    <definedName name="Fullyeardisclosurecurrentfinancialyear_52_fd3806ec4f9b41d9973ee73fb7c472d0">#REF!</definedName>
    <definedName name="Fullyeardisclosurecurrentfinancialyear_53_fd3806ec4f9b41d9973ee73fb7c472d0">#REF!</definedName>
    <definedName name="Fullyeardisclosurecurrentfinancialyear_54_fd3806ec4f9b41d9973ee73fb7c472d0">#REF!</definedName>
    <definedName name="Fullyeardisclosurecurrentfinancialyear_55_fd3806ec4f9b41d9973ee73fb7c472d0">#REF!</definedName>
    <definedName name="Fullyeardisclosurecurrentfinancialyear_56_fd3806ec4f9b41d9973ee73fb7c472d0">#REF!</definedName>
    <definedName name="Fullyeardisclosurecurrentfinancialyear_57_fd3806ec4f9b41d9973ee73fb7c472d0">#REF!</definedName>
    <definedName name="Fullyeardisclosurecurrentfinancialyear_58_fd3806ec4f9b41d9973ee73fb7c472d0">#REF!</definedName>
    <definedName name="Fullyeardisclosurecurrentfinancialyear_59_fd3806ec4f9b41d9973ee73fb7c472d0">#REF!</definedName>
    <definedName name="Fullyeardisclosurecurrentfinancialyear_6_fd3806ec4f9b41d9973ee73fb7c472d0">#REF!</definedName>
    <definedName name="Fullyeardisclosurecurrentfinancialyear_60_fd3806ec4f9b41d9973ee73fb7c472d0">#REF!</definedName>
    <definedName name="Fullyeardisclosurecurrentfinancialyear_61_fd3806ec4f9b41d9973ee73fb7c472d0">#REF!</definedName>
    <definedName name="Fullyeardisclosurecurrentfinancialyear_62_fd3806ec4f9b41d9973ee73fb7c472d0">#REF!</definedName>
    <definedName name="Fullyeardisclosurecurrentfinancialyear_63_fd3806ec4f9b41d9973ee73fb7c472d0">#REF!</definedName>
    <definedName name="Fullyeardisclosurecurrentfinancialyear_64_fd3806ec4f9b41d9973ee73fb7c472d0">#REF!</definedName>
    <definedName name="Fullyeardisclosurecurrentfinancialyear_65_fd3806ec4f9b41d9973ee73fb7c472d0">#REF!</definedName>
    <definedName name="Fullyeardisclosurecurrentfinancialyear_66_fd3806ec4f9b41d9973ee73fb7c472d0">#REF!</definedName>
    <definedName name="Fullyeardisclosurecurrentfinancialyear_67_fd3806ec4f9b41d9973ee73fb7c472d0">#REF!</definedName>
    <definedName name="Fullyeardisclosurecurrentfinancialyear_68_fd3806ec4f9b41d9973ee73fb7c472d0">#REF!</definedName>
    <definedName name="Fullyeardisclosurecurrentfinancialyear_69_fd3806ec4f9b41d9973ee73fb7c472d0">#REF!</definedName>
    <definedName name="Fullyeardisclosurecurrentfinancialyear_7_fd3806ec4f9b41d9973ee73fb7c472d0">#REF!</definedName>
    <definedName name="Fullyeardisclosurecurrentfinancialyear_70_fd3806ec4f9b41d9973ee73fb7c472d0">#REF!</definedName>
    <definedName name="Fullyeardisclosurecurrentfinancialyear_71_fd3806ec4f9b41d9973ee73fb7c472d0">#REF!</definedName>
    <definedName name="Fullyeardisclosurecurrentfinancialyear_72_fd3806ec4f9b41d9973ee73fb7c472d0">#REF!</definedName>
    <definedName name="Fullyeardisclosurecurrentfinancialyear_73_fd3806ec4f9b41d9973ee73fb7c472d0">#REF!</definedName>
    <definedName name="Fullyeardisclosurecurrentfinancialyear_74_fd3806ec4f9b41d9973ee73fb7c472d0">#REF!</definedName>
    <definedName name="Fullyeardisclosurecurrentfinancialyear_75_fd3806ec4f9b41d9973ee73fb7c472d0">#REF!</definedName>
    <definedName name="Fullyeardisclosurecurrentfinancialyear_77_fd3806ec4f9b41d9973ee73fb7c472d0">#REF!</definedName>
    <definedName name="Fullyeardisclosurecurrentfinancialyear_78_fd3806ec4f9b41d9973ee73fb7c472d0">#REF!</definedName>
    <definedName name="Fullyeardisclosurecurrentfinancialyear_79_fd3806ec4f9b41d9973ee73fb7c472d0">#REF!</definedName>
    <definedName name="Fullyeardisclosurecurrentfinancialyear_8_fd3806ec4f9b41d9973ee73fb7c472d0">#REF!</definedName>
    <definedName name="Fullyeardisclosurecurrentfinancialyear_80_fd3806ec4f9b41d9973ee73fb7c472d0">#REF!</definedName>
    <definedName name="Fullyeardisclosurecurrentfinancialyear_81_fd3806ec4f9b41d9973ee73fb7c472d0">#REF!</definedName>
    <definedName name="Fullyeardisclosurecurrentfinancialyear_82_fd3806ec4f9b41d9973ee73fb7c472d0">#REF!</definedName>
    <definedName name="Fullyeardisclosurecurrentfinancialyear_83_fd3806ec4f9b41d9973ee73fb7c472d0">#REF!</definedName>
    <definedName name="Fullyeardisclosurecurrentfinancialyear_84_fd3806ec4f9b41d9973ee73fb7c472d0">#REF!</definedName>
    <definedName name="Fullyeardisclosurecurrentfinancialyear_85_fd3806ec4f9b41d9973ee73fb7c472d0">#REF!</definedName>
    <definedName name="Fullyeardisclosurecurrentfinancialyear_86_fd3806ec4f9b41d9973ee73fb7c472d0">#REF!</definedName>
    <definedName name="Fullyeardisclosurecurrentfinancialyear_87_fd3806ec4f9b41d9973ee73fb7c472d0">#REF!</definedName>
    <definedName name="Fullyeardisclosurecurrentfinancialyear_88_fd3806ec4f9b41d9973ee73fb7c472d0">#REF!</definedName>
    <definedName name="Fullyeardisclosurecurrentfinancialyear_89_fd3806ec4f9b41d9973ee73fb7c472d0">#REF!</definedName>
    <definedName name="Fullyeardisclosurecurrentfinancialyear_9_fd3806ec4f9b41d9973ee73fb7c472d0">#REF!</definedName>
    <definedName name="Fullyeardisclosurecurrentfinancialyear_90_fd3806ec4f9b41d9973ee73fb7c472d0">#REF!</definedName>
    <definedName name="Fullyeardisclosurecurrentfinancialyear_91_fd3806ec4f9b41d9973ee73fb7c472d0">#REF!</definedName>
    <definedName name="Fullyeardisclosurecurrentfinancialyear_92_fd3806ec4f9b41d9973ee73fb7c472d0">#REF!</definedName>
    <definedName name="Fullyeardisclosurecurrentfinancialyear_93_fd3806ec4f9b41d9973ee73fb7c472d0">#REF!</definedName>
    <definedName name="Fullyeardisclosurecurrentfinancialyear_94_fd3806ec4f9b41d9973ee73fb7c472d0">#REF!</definedName>
    <definedName name="Fullyeardisclosurecurrentfinancialyear_95_fd3806ec4f9b41d9973ee73fb7c472d0">#REF!</definedName>
    <definedName name="Fullyeardisclosurecurrentfinancialyear_96_fd3806ec4f9b41d9973ee73fb7c472d0">#REF!</definedName>
    <definedName name="Fullyeardisclosurecurrentfinancialyear_97_fd3806ec4f9b41d9973ee73fb7c472d0">#REF!</definedName>
    <definedName name="Fullyeardisclosurecurrentfinancialyear_98_fd3806ec4f9b41d9973ee73fb7c472d0">#REF!</definedName>
    <definedName name="Fullyeardisclosurecurrentfinancialyear_99_fd3806ec4f9b41d9973ee73fb7c472d0">#REF!</definedName>
    <definedName name="Fullyeardisclosurenextfinancialyear_1_fd3806ec4f9b41d9973ee73fb7c472d0">#REF!</definedName>
    <definedName name="Fullyeardisclosurenextfinancialyear_10_fd3806ec4f9b41d9973ee73fb7c472d0">#REF!</definedName>
    <definedName name="Fullyeardisclosurenextfinancialyear_11_fd3806ec4f9b41d9973ee73fb7c472d0">#REF!</definedName>
    <definedName name="Fullyeardisclosurenextfinancialyear_12_fd3806ec4f9b41d9973ee73fb7c472d0">#REF!</definedName>
    <definedName name="Fullyeardisclosurenextfinancialyear_13_fd3806ec4f9b41d9973ee73fb7c472d0">#REF!</definedName>
    <definedName name="Fullyeardisclosurenextfinancialyear_14_fd3806ec4f9b41d9973ee73fb7c472d0">#REF!</definedName>
    <definedName name="Fullyeardisclosurenextfinancialyear_2_fd3806ec4f9b41d9973ee73fb7c472d0">#REF!</definedName>
    <definedName name="Fullyeardisclosurenextfinancialyear_3_fd3806ec4f9b41d9973ee73fb7c472d0">#REF!</definedName>
    <definedName name="Fullyeardisclosurenextfinancialyear_4_fd3806ec4f9b41d9973ee73fb7c472d0">#REF!</definedName>
    <definedName name="Fullyeardisclosurenextfinancialyear_5_fd3806ec4f9b41d9973ee73fb7c472d0">#REF!</definedName>
    <definedName name="Fullyeardisclosurenextfinancialyear_6_fd3806ec4f9b41d9973ee73fb7c472d0">#REF!</definedName>
    <definedName name="Fullyeardisclosurenextfinancialyear_7_fd3806ec4f9b41d9973ee73fb7c472d0">#REF!</definedName>
    <definedName name="Fullyeardisclosurenextfinancialyear_8_fd3806ec4f9b41d9973ee73fb7c472d0">#REF!</definedName>
    <definedName name="Fullyeardisclosurenextfinancialyear_9_fd3806ec4f9b41d9973ee73fb7c472d0">#REF!</definedName>
    <definedName name="Futurecashflows_15_fd3806ec4f9b41d9973ee73fb7c472d0">#REF!</definedName>
    <definedName name="Futurecashflows_16_fd3806ec4f9b41d9973ee73fb7c472d0">#REF!</definedName>
    <definedName name="Futurecashflows_17_fd3806ec4f9b41d9973ee73fb7c472d0">#REF!</definedName>
    <definedName name="Futurecashflows_18_fd3806ec4f9b41d9973ee73fb7c472d0">#REF!</definedName>
    <definedName name="Futurecashflows_19_fd3806ec4f9b41d9973ee73fb7c472d0">#REF!</definedName>
    <definedName name="Futurecashflows_20_fd3806ec4f9b41d9973ee73fb7c472d0">#REF!</definedName>
    <definedName name="Futurecashflows_21_fd3806ec4f9b41d9973ee73fb7c472d0">#REF!</definedName>
    <definedName name="Futurecashflows_22_fd3806ec4f9b41d9973ee73fb7c472d0">#REF!</definedName>
    <definedName name="Futurecashflows_23_fd3806ec4f9b41d9973ee73fb7c472d0">#REF!</definedName>
    <definedName name="Futurecashflows_24_fd3806ec4f9b41d9973ee73fb7c472d0">#REF!</definedName>
    <definedName name="Futurecashflows_25_fd3806ec4f9b41d9973ee73fb7c472d0">#REF!</definedName>
    <definedName name="Futurecashflows_26_fd3806ec4f9b41d9973ee73fb7c472d0">#REF!</definedName>
    <definedName name="Futurecashflows_27_fd3806ec4f9b41d9973ee73fb7c472d0">#REF!</definedName>
    <definedName name="Futurecashflows_28_fd3806ec4f9b41d9973ee73fb7c472d0">#REF!</definedName>
    <definedName name="Futurecashflows_29_fd3806ec4f9b41d9973ee73fb7c472d0">#REF!</definedName>
    <definedName name="Futurecashflows_30_fd3806ec4f9b41d9973ee73fb7c472d0">#REF!</definedName>
    <definedName name="Futurecashflows_31_fd3806ec4f9b41d9973ee73fb7c472d0">#REF!</definedName>
    <definedName name="Futurecashflows_32_fd3806ec4f9b41d9973ee73fb7c472d0">#REF!</definedName>
    <definedName name="Futurecashflows_33_fd3806ec4f9b41d9973ee73fb7c472d0">#REF!</definedName>
    <definedName name="Futurecashflows_34_fd3806ec4f9b41d9973ee73fb7c472d0">#REF!</definedName>
    <definedName name="Futurecashflows_35_fd3806ec4f9b41d9973ee73fb7c472d0">#REF!</definedName>
    <definedName name="Futurecashflows_36_fd3806ec4f9b41d9973ee73fb7c472d0">#REF!</definedName>
    <definedName name="Futurecashflows_37_fd3806ec4f9b41d9973ee73fb7c472d0">#REF!</definedName>
    <definedName name="Futurecashflows_38_fd3806ec4f9b41d9973ee73fb7c472d0">#REF!</definedName>
    <definedName name="Futurecashflows_39_fd3806ec4f9b41d9973ee73fb7c472d0">#REF!</definedName>
    <definedName name="Futurecashflows_40_fd3806ec4f9b41d9973ee73fb7c472d0">#REF!</definedName>
    <definedName name="Futurecashflows_41_fd3806ec4f9b41d9973ee73fb7c472d0">#REF!</definedName>
    <definedName name="Futurecashflows_42_fd3806ec4f9b41d9973ee73fb7c472d0">#REF!</definedName>
    <definedName name="Futurecashflows_43_fd3806ec4f9b41d9973ee73fb7c472d0">#REF!</definedName>
    <definedName name="Futurecashflows_44_fd3806ec4f9b41d9973ee73fb7c472d0">#REF!</definedName>
    <definedName name="Futurecashflows_45_fd3806ec4f9b41d9973ee73fb7c472d0">#REF!</definedName>
    <definedName name="Futurecashflows_46_fd3806ec4f9b41d9973ee73fb7c472d0">#REF!</definedName>
    <definedName name="Futurecashflows_47_fd3806ec4f9b41d9973ee73fb7c472d0">#REF!</definedName>
    <definedName name="Futurecashflows_48_fd3806ec4f9b41d9973ee73fb7c472d0">#REF!</definedName>
    <definedName name="Futurecashflows_49_fd3806ec4f9b41d9973ee73fb7c472d0">#REF!</definedName>
    <definedName name="Futurecashflows_50_fd3806ec4f9b41d9973ee73fb7c472d0">#REF!</definedName>
    <definedName name="Futurecashflows_51_fd3806ec4f9b41d9973ee73fb7c472d0">#REF!</definedName>
    <definedName name="Futurecashflows_52_fd3806ec4f9b41d9973ee73fb7c472d0">#REF!</definedName>
    <definedName name="Futurecashflows_53_fd3806ec4f9b41d9973ee73fb7c472d0">#REF!</definedName>
    <definedName name="g">#REF!</definedName>
    <definedName name="GainsandlossesTransitionamounts_1_fd3806ec4f9b41d9973ee73fb7c472d0">#REF!</definedName>
    <definedName name="GainsandlossesTransitionamounts_2_fd3806ec4f9b41d9973ee73fb7c472d0">#REF!</definedName>
    <definedName name="GainsandlossesTransitionamounts_3_fd3806ec4f9b41d9973ee73fb7c472d0">#REF!</definedName>
    <definedName name="GainsandlossesTransitionamounts_4_fd3806ec4f9b41d9973ee73fb7c472d0">#REF!</definedName>
    <definedName name="GainsandlossesTransitionamounts_5_fd3806ec4f9b41d9973ee73fb7c472d0">#REF!</definedName>
    <definedName name="GainsandlossesTransitionamounts_6_fd3806ec4f9b41d9973ee73fb7c472d0">#REF!</definedName>
    <definedName name="GainsandlossesTransitionamounts_7_fd3806ec4f9b41d9973ee73fb7c472d0">#REF!</definedName>
    <definedName name="GainsandlossesTransitionamounts_8_fd3806ec4f9b41d9973ee73fb7c472d0">#REF!</definedName>
    <definedName name="GainsandlossesTransitionamounts_9_fd3806ec4f9b41d9973ee73fb7c472d0">#REF!</definedName>
    <definedName name="GBP">#REF!</definedName>
    <definedName name="Generalinformation_1_fd3806ec4f9b41d9973ee73fb7c472d0">#REF!</definedName>
    <definedName name="Generalinformation_10_fd3806ec4f9b41d9973ee73fb7c472d0">#REF!</definedName>
    <definedName name="Generalinformation_11_fd3806ec4f9b41d9973ee73fb7c472d0">#REF!</definedName>
    <definedName name="Generalinformation_12_fd3806ec4f9b41d9973ee73fb7c472d0">#REF!</definedName>
    <definedName name="Generalinformation_13_fd3806ec4f9b41d9973ee73fb7c472d0">#REF!</definedName>
    <definedName name="Generalinformation_14_fd3806ec4f9b41d9973ee73fb7c472d0">#REF!</definedName>
    <definedName name="Generalinformation_2_fd3806ec4f9b41d9973ee73fb7c472d0">#REF!</definedName>
    <definedName name="Generalinformation_3_fd3806ec4f9b41d9973ee73fb7c472d0">#REF!</definedName>
    <definedName name="Generalinformation_4_fd3806ec4f9b41d9973ee73fb7c472d0">#REF!</definedName>
    <definedName name="Generalinformation_5_fd3806ec4f9b41d9973ee73fb7c472d0">#REF!</definedName>
    <definedName name="Generalinformation_6_fd3806ec4f9b41d9973ee73fb7c472d0">#REF!</definedName>
    <definedName name="Generalinformation_7_fd3806ec4f9b41d9973ee73fb7c472d0">#REF!</definedName>
    <definedName name="Generalinformation_8_fd3806ec4f9b41d9973ee73fb7c472d0">#REF!</definedName>
    <definedName name="Generalinformation_9_fd3806ec4f9b41d9973ee73fb7c472d0">#REF!</definedName>
    <definedName name="ghhr">#REF!</definedName>
    <definedName name="GMA">#REF!</definedName>
    <definedName name="GMC">#REF!</definedName>
    <definedName name="graph1">#REF!</definedName>
    <definedName name="gtyiu">#REF!</definedName>
    <definedName name="H">#REF!</definedName>
    <definedName name="HAI">#REF!</definedName>
    <definedName name="HAIBUN">#REF!</definedName>
    <definedName name="Hand_Percent">[17]DataGraph!$C$3</definedName>
    <definedName name="Heat">[23]Content1!#REF!</definedName>
    <definedName name="HHH">#REF!</definedName>
    <definedName name="ＨＩＰ">#REF!</definedName>
    <definedName name="HKD">#REF!</definedName>
    <definedName name="HTML_CodePage" hidden="1">874</definedName>
    <definedName name="HTML_Control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Description" hidden="1">""</definedName>
    <definedName name="HTML_Email" hidden="1">""</definedName>
    <definedName name="HTML_Header" hidden="1">"Machine List"</definedName>
    <definedName name="HTML_LastUpdate" hidden="1">"16/2/00"</definedName>
    <definedName name="HTML_LineAfter" hidden="1">FALSE</definedName>
    <definedName name="HTML_LineBefore" hidden="1">TRUE</definedName>
    <definedName name="HTML_Name" hidden="1">"NTET II"</definedName>
    <definedName name="HTML_OBDlg2" hidden="1">TRUE</definedName>
    <definedName name="HTML_OBDlg4" hidden="1">TRUE</definedName>
    <definedName name="HTML_OS" hidden="1">0</definedName>
    <definedName name="HTML_PathFile" hidden="1">"U:\FA\##machineCapa##\MyHTML.htm"</definedName>
    <definedName name="HTML_Title" hidden="1">"MC-Cap"</definedName>
    <definedName name="i">#REF!</definedName>
    <definedName name="i8437r">#REF!</definedName>
    <definedName name="INR">#REF!</definedName>
    <definedName name="Intercept_Capa">[17]DataGraph!$B$206</definedName>
    <definedName name="Intercept_TanD">[17]DataGraph!$H$206</definedName>
    <definedName name="IR_IR">[12]CONTENT!#REF!</definedName>
    <definedName name="IS_RIBBON_CREATE_SUCCESS">TRUE</definedName>
    <definedName name="IS_RIBBON_SHOW_GRAPH_GROUP">FALSE</definedName>
    <definedName name="IS_RIBBON_SHOW_MAIN_GROUP">FALSE</definedName>
    <definedName name="J">#REF!</definedName>
    <definedName name="jissai">'[14]#REF'!$A$1:$J$718</definedName>
    <definedName name="K">#REF!</definedName>
    <definedName name="Kanchit">[24]CONTENT!#REF!</definedName>
    <definedName name="kkkk">#REF!</definedName>
    <definedName name="LCdata">[19]LC!$D$1:$AB$130</definedName>
    <definedName name="LClydata">'[19]LC last year'!$D$1:$AE$130</definedName>
    <definedName name="LiabilityRestatement">#REF!</definedName>
    <definedName name="ＬＭ">#REF!</definedName>
    <definedName name="loading">[25]FORM!#REF!</definedName>
    <definedName name="Lower_C_Cap_Cri">[17]DataGraph!$C$214</definedName>
    <definedName name="Lower_C_TanD_Cri">[17]DataGraph!$H$214</definedName>
    <definedName name="Lower_Cap">[17]DataGraph!$C$210</definedName>
    <definedName name="Lower_TanD">[17]DataGraph!$H$210</definedName>
    <definedName name="LTRU">#REF!</definedName>
    <definedName name="M">#REF!</definedName>
    <definedName name="M_treat">[23]Content1!#REF!</definedName>
    <definedName name="Max_MC_Capa">[17]DataGraph!$E$1</definedName>
    <definedName name="MC_No">[17]InputPane!$G$6</definedName>
    <definedName name="ＭＤ">#REF!</definedName>
    <definedName name="Membershipdetails_1_fd3806ec4f9b41d9973ee73fb7c472d0">#REF!</definedName>
    <definedName name="Membershipdetails_10_fd3806ec4f9b41d9973ee73fb7c472d0">#REF!</definedName>
    <definedName name="Membershipdetails_11_fd3806ec4f9b41d9973ee73fb7c472d0">#REF!</definedName>
    <definedName name="Membershipdetails_12_fd3806ec4f9b41d9973ee73fb7c472d0">#REF!</definedName>
    <definedName name="Membershipdetails_13_fd3806ec4f9b41d9973ee73fb7c472d0">#REF!</definedName>
    <definedName name="Membershipdetails_14_fd3806ec4f9b41d9973ee73fb7c472d0">#REF!</definedName>
    <definedName name="Membershipdetails_15_fd3806ec4f9b41d9973ee73fb7c472d0">#REF!</definedName>
    <definedName name="Membershipdetails_16_fd3806ec4f9b41d9973ee73fb7c472d0">#REF!</definedName>
    <definedName name="Membershipdetails_17_fd3806ec4f9b41d9973ee73fb7c472d0">#REF!</definedName>
    <definedName name="Membershipdetails_18_fd3806ec4f9b41d9973ee73fb7c472d0">#REF!</definedName>
    <definedName name="Membershipdetails_19_fd3806ec4f9b41d9973ee73fb7c472d0">#REF!</definedName>
    <definedName name="Membershipdetails_2_fd3806ec4f9b41d9973ee73fb7c472d0">#REF!</definedName>
    <definedName name="Membershipdetails_20_fd3806ec4f9b41d9973ee73fb7c472d0">#REF!</definedName>
    <definedName name="Membershipdetails_21_fd3806ec4f9b41d9973ee73fb7c472d0">#REF!</definedName>
    <definedName name="Membershipdetails_22_fd3806ec4f9b41d9973ee73fb7c472d0">#REF!</definedName>
    <definedName name="Membershipdetails_23_fd3806ec4f9b41d9973ee73fb7c472d0">#REF!</definedName>
    <definedName name="Membershipdetails_24_fd3806ec4f9b41d9973ee73fb7c472d0">#REF!</definedName>
    <definedName name="Membershipdetails_25_fd3806ec4f9b41d9973ee73fb7c472d0">#REF!</definedName>
    <definedName name="Membershipdetails_26_fd3806ec4f9b41d9973ee73fb7c472d0">#REF!</definedName>
    <definedName name="Membershipdetails_27_fd3806ec4f9b41d9973ee73fb7c472d0">#REF!</definedName>
    <definedName name="Membershipdetails_28_fd3806ec4f9b41d9973ee73fb7c472d0">#REF!</definedName>
    <definedName name="Membershipdetails_29_fd3806ec4f9b41d9973ee73fb7c472d0">#REF!</definedName>
    <definedName name="Membershipdetails_3_fd3806ec4f9b41d9973ee73fb7c472d0">#REF!</definedName>
    <definedName name="Membershipdetails_30_fd3806ec4f9b41d9973ee73fb7c472d0">#REF!</definedName>
    <definedName name="Membershipdetails_31_fd3806ec4f9b41d9973ee73fb7c472d0">#REF!</definedName>
    <definedName name="Membershipdetails_32_fd3806ec4f9b41d9973ee73fb7c472d0">#REF!</definedName>
    <definedName name="Membershipdetails_33_fd3806ec4f9b41d9973ee73fb7c472d0">#REF!</definedName>
    <definedName name="Membershipdetails_34_fd3806ec4f9b41d9973ee73fb7c472d0">#REF!</definedName>
    <definedName name="Membershipdetails_35_fd3806ec4f9b41d9973ee73fb7c472d0">#REF!</definedName>
    <definedName name="Membershipdetails_36_fd3806ec4f9b41d9973ee73fb7c472d0">#REF!</definedName>
    <definedName name="Membershipdetails_37_fd3806ec4f9b41d9973ee73fb7c472d0">#REF!</definedName>
    <definedName name="Membershipdetails_38_fd3806ec4f9b41d9973ee73fb7c472d0">#REF!</definedName>
    <definedName name="Membershipdetails_39_fd3806ec4f9b41d9973ee73fb7c472d0">#REF!</definedName>
    <definedName name="Membershipdetails_4_fd3806ec4f9b41d9973ee73fb7c472d0">#REF!</definedName>
    <definedName name="Membershipdetails_40_fd3806ec4f9b41d9973ee73fb7c472d0">#REF!</definedName>
    <definedName name="Membershipdetails_41_fd3806ec4f9b41d9973ee73fb7c472d0">#REF!</definedName>
    <definedName name="Membershipdetails_42_fd3806ec4f9b41d9973ee73fb7c472d0">#REF!</definedName>
    <definedName name="Membershipdetails_43_fd3806ec4f9b41d9973ee73fb7c472d0">#REF!</definedName>
    <definedName name="Membershipdetails_44_fd3806ec4f9b41d9973ee73fb7c472d0">#REF!</definedName>
    <definedName name="Membershipdetails_45_fd3806ec4f9b41d9973ee73fb7c472d0">#REF!</definedName>
    <definedName name="Membershipdetails_5_fd3806ec4f9b41d9973ee73fb7c472d0">#REF!</definedName>
    <definedName name="Membershipdetails_6_fd3806ec4f9b41d9973ee73fb7c472d0">#REF!</definedName>
    <definedName name="Membershipdetails_7_fd3806ec4f9b41d9973ee73fb7c472d0">#REF!</definedName>
    <definedName name="Membershipdetails_8_fd3806ec4f9b41d9973ee73fb7c472d0">#REF!</definedName>
    <definedName name="Membershipdetails_9_fd3806ec4f9b41d9973ee73fb7c472d0">#REF!</definedName>
    <definedName name="MENU">[26]SILCOAT!#REF!</definedName>
    <definedName name="Min_MC_Capa">[17]DataGraph!$F$1</definedName>
    <definedName name="mokuhyo">[14]実際!$A$1:$J$743</definedName>
    <definedName name="MONTH">#REF!</definedName>
    <definedName name="MXP">#REF!</definedName>
    <definedName name="MYR">#REF!</definedName>
    <definedName name="N">[7]日付!$B$2</definedName>
    <definedName name="N_Capa">#REF!</definedName>
    <definedName name="N_TanD">#REF!</definedName>
    <definedName name="NEN">#REF!</definedName>
    <definedName name="New_ZnFilm">[13]CONTENT!$B$126</definedName>
    <definedName name="NMONTH">#REF!</definedName>
    <definedName name="object_Nonobject">'[27]"Object Non-object by Position"'!$B$2:$C$100</definedName>
    <definedName name="OCIReversal">#REF!</definedName>
    <definedName name="OCIReversal___0">#REF!</definedName>
    <definedName name="OneYearCost_BoY">#REF!</definedName>
    <definedName name="OneYearCost_Restated">#REF!</definedName>
    <definedName name="Oracle_BS">#REF!</definedName>
    <definedName name="OUTPUT">#REF!</definedName>
    <definedName name="Overviewcashflow_15_fd3806ec4f9b41d9973ee73fb7c472d0">#REF!</definedName>
    <definedName name="Overviewcashflow_16_fd3806ec4f9b41d9973ee73fb7c472d0">#REF!</definedName>
    <definedName name="Overviewcashflow_17_fd3806ec4f9b41d9973ee73fb7c472d0">#REF!</definedName>
    <definedName name="Overviewcashflow_18_fd3806ec4f9b41d9973ee73fb7c472d0">#REF!</definedName>
    <definedName name="Overviewcashflow_19_fd3806ec4f9b41d9973ee73fb7c472d0">#REF!</definedName>
    <definedName name="Overviewcashflow_20_fd3806ec4f9b41d9973ee73fb7c472d0">#REF!</definedName>
    <definedName name="Overviewcashflow_21_fd3806ec4f9b41d9973ee73fb7c472d0">#REF!</definedName>
    <definedName name="Overviewcashflow_22_fd3806ec4f9b41d9973ee73fb7c472d0">#REF!</definedName>
    <definedName name="Overviewcashflow_23_fd3806ec4f9b41d9973ee73fb7c472d0">#REF!</definedName>
    <definedName name="Overviewcashflow_24_fd3806ec4f9b41d9973ee73fb7c472d0">#REF!</definedName>
    <definedName name="Overviewcashflow_25_fd3806ec4f9b41d9973ee73fb7c472d0">#REF!</definedName>
    <definedName name="Overviewcashflow_26_fd3806ec4f9b41d9973ee73fb7c472d0">#REF!</definedName>
    <definedName name="Overviewcashflow_27_fd3806ec4f9b41d9973ee73fb7c472d0">#REF!</definedName>
    <definedName name="Overviewcashflow_28_fd3806ec4f9b41d9973ee73fb7c472d0">#REF!</definedName>
    <definedName name="PAGE1">#REF!</definedName>
    <definedName name="PAGE10">#REF!</definedName>
    <definedName name="PAGE11">#REF!</definedName>
    <definedName name="PAGE11A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7A">#REF!</definedName>
    <definedName name="PAGE8">#REF!</definedName>
    <definedName name="PAGE8A">#REF!</definedName>
    <definedName name="PAGE9">#REF!</definedName>
    <definedName name="PAGE9A">#REF!</definedName>
    <definedName name="PAGEK12">#REF!</definedName>
    <definedName name="PAGEK13">#REF!</definedName>
    <definedName name="PAGEK14">#REF!</definedName>
    <definedName name="PAGEK15">#REF!</definedName>
    <definedName name="PAGEK16">#REF!</definedName>
    <definedName name="PAGEK17">#REF!</definedName>
    <definedName name="PAGEK18">#REF!</definedName>
    <definedName name="PAGEK19">#REF!</definedName>
    <definedName name="PAGES12">#REF!</definedName>
    <definedName name="PAGES13">#REF!</definedName>
    <definedName name="PAGES14">#REF!</definedName>
    <definedName name="PAGES15">#REF!</definedName>
    <definedName name="PAGES16">#REF!</definedName>
    <definedName name="PAGES17">#REF!</definedName>
    <definedName name="PAGES18">#REF!</definedName>
    <definedName name="PAGES19">#REF!</definedName>
    <definedName name="Part_No">[17]InputPane!$G$8</definedName>
    <definedName name="PD_AccountingBenefit_2c755d07d7a84f599045cd66a0d061ea">#REF!</definedName>
    <definedName name="PD_AccountingBusinessUnit_2c755d07d7a84f599045cd66a0d061ea">#REF!</definedName>
    <definedName name="PD_AccountingCancelled_2c755d07d7a84f599045cd66a0d061ea">#REF!</definedName>
    <definedName name="PD_AccountingEffectiveDate_2c755d07d7a84f599045cd66a0d061ea">#REF!</definedName>
    <definedName name="PD_AccountingExpirationDate_2c755d07d7a84f599045cd66a0d061ea">#REF!</definedName>
    <definedName name="PD_AccountingFinancialYearEndDate_2c755d07d7a84f599045cd66a0d061ea">#REF!</definedName>
    <definedName name="PD_AccountingGeographicUnit_2c755d07d7a84f599045cd66a0d061ea">#REF!</definedName>
    <definedName name="PD_AccountingLocalCurrency_2c755d07d7a84f599045cd66a0d061ea">#REF!</definedName>
    <definedName name="PD_AccountingName_2c755d07d7a84f599045cd66a0d061ea">#REF!</definedName>
    <definedName name="PD_AccountingPlanID_2c755d07d7a84f599045cd66a0d061ea">#REF!</definedName>
    <definedName name="PD_AccountingProcessStatus_2c755d07d7a84f599045cd66a0d061ea">#REF!</definedName>
    <definedName name="PD_AccountingReportingCurrency_2c755d07d7a84f599045cd66a0d061ea">#REF!</definedName>
    <definedName name="PD_AccountingReportingCurrencyConversion_2c755d07d7a84f599045cd66a0d061ea">#REF!</definedName>
    <definedName name="PD_AccountingReportingCustomExchangeRate_2c755d07d7a84f599045cd66a0d061ea">#REF!</definedName>
    <definedName name="PD_AccountingScenario_2c755d07d7a84f599045cd66a0d061ea">#REF!</definedName>
    <definedName name="PD_AccountingTemplate_2c755d07d7a84f599045cd66a0d061ea">#REF!</definedName>
    <definedName name="PD_AccountingValuationMethodology_2c755d07d7a84f599045cd66a0d061ea">#REF!</definedName>
    <definedName name="PD_BOY_2c755d07d7a84f599045cd66a0d061ea">#REF!</definedName>
    <definedName name="PD_EOP_2c755d07d7a84f599045cd66a0d061ea">#REF!</definedName>
    <definedName name="PD_PL_2c755d07d7a84f599045cd66a0d061ea">#REF!</definedName>
    <definedName name="PD_ReportingMultiple_2c755d07d7a84f599045cd66a0d061ea">#REF!</definedName>
    <definedName name="PD_Rounding_2c755d07d7a84f599045cd66a0d061ea">#REF!</definedName>
    <definedName name="Period">'[28]Settings and Validations'!$B$2</definedName>
    <definedName name="PL_BusinessUnit_2c755d07d7a84f599045cd66a0d061ea">#REF!</definedName>
    <definedName name="PL_Country_2c755d07d7a84f599045cd66a0d061ea">#REF!</definedName>
    <definedName name="PL_DateModified_2c755d07d7a84f599045cd66a0d061ea">#REF!</definedName>
    <definedName name="PL_GeographicUnit_2c755d07d7a84f599045cd66a0d061ea">#REF!</definedName>
    <definedName name="PL_Lookup">[20]LookupTables!$C$2:$D$110</definedName>
    <definedName name="PL_Owner_2c755d07d7a84f599045cd66a0d061ea">#REF!</definedName>
    <definedName name="PL_Plan_2c755d07d7a84f599045cd66a0d061ea">#REF!</definedName>
    <definedName name="PL_RelatedPlans_2c755d07d7a84f599045cd66a0d061ea">#REF!</definedName>
    <definedName name="PL_Type_2c755d07d7a84f599045cd66a0d061ea">#REF!</definedName>
    <definedName name="PLAN">#REF!</definedName>
    <definedName name="Plan_Number">#REF!</definedName>
    <definedName name="Plan_Number___0">#REF!</definedName>
    <definedName name="plansbynumber">#REF!</definedName>
    <definedName name="plansbynumber___0">#REF!</definedName>
    <definedName name="PLP">'[22]Qty(C)'!$D$5:$U$14</definedName>
    <definedName name="PN">#REF!</definedName>
    <definedName name="po">#REF!</definedName>
    <definedName name="PRICON">#REF!</definedName>
    <definedName name="_xlnm.Print_Area">[3]原価コード表!$A$1:$G$564</definedName>
    <definedName name="Print_Area_MI">[29]FORM!#REF!</definedName>
    <definedName name="_xlnm.Print_Titles">[3]原価コード表!$A$1:$IV$1</definedName>
    <definedName name="Print_Titles_MI">#REF!</definedName>
    <definedName name="Prob">'[16]"Probablity"'!#REF!</definedName>
    <definedName name="Proba">'[16]"Probablity"'!#REF!</definedName>
    <definedName name="Prod_D_R3">#REF!</definedName>
    <definedName name="Prod_Date">[17]InputPane!$G$4</definedName>
    <definedName name="Pulse">[13]CONTENT!$B$453</definedName>
    <definedName name="PVDF">[27]PVDF!$E$23</definedName>
    <definedName name="q">#REF!</definedName>
    <definedName name="qgenka21_2">#REF!</definedName>
    <definedName name="QQ">#REF!</definedName>
    <definedName name="Qty_Capa">[17]DataGraph!$B$204</definedName>
    <definedName name="Qty_TanD">[17]DataGraph!$H$204</definedName>
    <definedName name="Query1">#REF!</definedName>
    <definedName name="Query2">[30]Query2!$A$1:$P$952</definedName>
    <definedName name="Ｑ実績原価">#REF!</definedName>
    <definedName name="R_SQ_Capa">[17]DataGraph!$B$203</definedName>
    <definedName name="R_SQ_TanD">[17]DataGraph!$H$203</definedName>
    <definedName name="RankG">#REF!</definedName>
    <definedName name="Reflow_Con">[13]CONTENT!$B$396</definedName>
    <definedName name="Region_Lookup">[20]LookupTables!$G$2:$H$94</definedName>
    <definedName name="Rescreen">#REF!</definedName>
    <definedName name="Result_C_Cap">#REF!</definedName>
    <definedName name="Result_C_TanD">#REF!</definedName>
    <definedName name="Result_R_Cap">#REF!</definedName>
    <definedName name="Result_R_TanD">#REF!</definedName>
    <definedName name="revise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IBBON_OBJECT_POINTER">2425227330576</definedName>
    <definedName name="rng_Expenses20">#REF!</definedName>
    <definedName name="Room_Temp">[13]CONTENT!$B$185</definedName>
    <definedName name="RSQ_Cap_Cri">[17]DataGraph!$C$212</definedName>
    <definedName name="RSQ_Capa">#REF!</definedName>
    <definedName name="Rsq_TanD">#REF!</definedName>
    <definedName name="RSQ_TanD_Cri">[17]DataGraph!$H$212</definedName>
    <definedName name="rt">#REF!</definedName>
    <definedName name="S">#REF!</definedName>
    <definedName name="S03z">#REF!</definedName>
    <definedName name="Salecompanies">'[22]Qty(C)'!$D$124:$U$223</definedName>
    <definedName name="Scenario">"Test"</definedName>
    <definedName name="sd">#REF!</definedName>
    <definedName name="sdfsd">#REF!</definedName>
    <definedName name="SEK">#REF!</definedName>
    <definedName name="SGD">#REF!</definedName>
    <definedName name="SH_Be_Ag">[13]CONTENT!$B$81</definedName>
    <definedName name="SHA">#REF!</definedName>
    <definedName name="Sheet">#REF!</definedName>
    <definedName name="SHEET_C">#REF!</definedName>
    <definedName name="Sheet1">#REF!</definedName>
    <definedName name="Sheet10">#REF!</definedName>
    <definedName name="Sheet11">#REF!</definedName>
    <definedName name="sheet2">#REF!</definedName>
    <definedName name="Sheet7">#REF!</definedName>
    <definedName name="Sheet8">#REF!</definedName>
    <definedName name="sheet9">#REF!</definedName>
    <definedName name="shiwake">[31]集計・仕訳!#REF!</definedName>
    <definedName name="sppp">#REF!</definedName>
    <definedName name="ssssss">#REF!</definedName>
    <definedName name="START">#REF!</definedName>
    <definedName name="StdErr_Capa">#REF!</definedName>
    <definedName name="StdErr_TanD">#REF!</definedName>
    <definedName name="StdErrCoef_Capa">#REF!</definedName>
    <definedName name="StdErrCoef_TanD">#REF!</definedName>
    <definedName name="SubTotalingOption_BusinessUnit_2c755d07d7a84f599045cd66a0d061ea">#REF!</definedName>
    <definedName name="SubTotalingOption_Country_2c755d07d7a84f599045cd66a0d061ea">#REF!</definedName>
    <definedName name="SubTotalingOption_GrandTotal_2c755d07d7a84f599045cd66a0d061ea">#REF!</definedName>
    <definedName name="SubTotalingOption_Type_2c755d07d7a84f599045cd66a0d061ea">#REF!</definedName>
    <definedName name="sum">#REF!</definedName>
    <definedName name="SUM_HEADER">#REF!</definedName>
    <definedName name="summ\">#REF!</definedName>
    <definedName name="SUMMARY">#REF!</definedName>
    <definedName name="Ｓプロ">#REF!</definedName>
    <definedName name="T_EXPORT">#REF!</definedName>
    <definedName name="TABLE1">#REF!</definedName>
    <definedName name="TABLE1A">#REF!</definedName>
    <definedName name="tabNames">#REF!</definedName>
    <definedName name="tabNames___0">#REF!</definedName>
    <definedName name="tand">[32]DataGraph!$H$203</definedName>
    <definedName name="TanD_Hand">[17]DataGraph!$H$3</definedName>
    <definedName name="TanD_Hand1">[17]InputPane!$E$8</definedName>
    <definedName name="TanD_MC">[17]DataGraph!$I$3</definedName>
    <definedName name="TanD_MC1">[17]InputPane!$F$8</definedName>
    <definedName name="TanD_Scal_Y_Max">[17]DataGraph!$J$206</definedName>
    <definedName name="TanD_Scale_X_Max">[17]DataGraph!$I$206</definedName>
    <definedName name="TanD_Scale_X_Min">[17]DataGraph!$I$205</definedName>
    <definedName name="TanD_Scale_Y_Min">[17]DataGraph!$J$205</definedName>
    <definedName name="TARLPI">#REF!</definedName>
    <definedName name="TARSPP">#REF!</definedName>
    <definedName name="TARSS1">#REF!</definedName>
    <definedName name="TASCAllocation">'[18]201501Ta SC Allocation'!$A$3:$D$72</definedName>
    <definedName name="Total">'[33]Dry formation '!#REF!</definedName>
    <definedName name="TRANS">#REF!</definedName>
    <definedName name="TRANS1">#REF!</definedName>
    <definedName name="traspp">#REF!</definedName>
    <definedName name="trend">'[5]raw J1'!$A$85</definedName>
    <definedName name="TTG">[2]before!$A$9:$E$22</definedName>
    <definedName name="TTGL">[2]before!$X$7:$Z$25</definedName>
    <definedName name="tttt">#REF!</definedName>
    <definedName name="TWD">#REF!</definedName>
    <definedName name="UFPrn20041102155527">#REF!</definedName>
    <definedName name="uj">#REF!</definedName>
    <definedName name="um">#REF!</definedName>
    <definedName name="Untitled">#REF!</definedName>
    <definedName name="Upper_C_Cap_Cri">[17]DataGraph!$C$213</definedName>
    <definedName name="Upper_C_TanD_Cri">[17]DataGraph!$H$213</definedName>
    <definedName name="Upper_Cap">[17]DataGraph!$C$209</definedName>
    <definedName name="Upper_TanD">[17]DataGraph!$H$209</definedName>
    <definedName name="USD">#REF!</definedName>
    <definedName name="USDdata">[19]USD!$D$1:$AC$120</definedName>
    <definedName name="USDlydata">'[19]USD last year'!$D$1:$AE$120</definedName>
    <definedName name="WAFALL2">[9]Sheet1!#REF!</definedName>
    <definedName name="WAFBUD2">[9]Sheet1!#REF!</definedName>
    <definedName name="WAFPRO2">[9]Sheet1!#REF!</definedName>
    <definedName name="we">#REF!</definedName>
    <definedName name="wer">#REF!</definedName>
    <definedName name="WORLPI">#REF!</definedName>
    <definedName name="WORSPP">#REF!</definedName>
    <definedName name="ww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WWWWW">[34]DataGraph!$D$206</definedName>
    <definedName name="X_Coef_Capa">[17]DataGraph!$B$205</definedName>
    <definedName name="XCoef_Capa">#REF!</definedName>
    <definedName name="XCoef_TanD">#REF!</definedName>
    <definedName name="XXX">#REF!</definedName>
    <definedName name="Year">2012</definedName>
    <definedName name="YEU">[2]before!$A$3:$N$34</definedName>
    <definedName name="yield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OSAN">[7]予算!$A$8:$AB$40</definedName>
    <definedName name="zx">#REF!</definedName>
    <definedName name="き">#REF!,#REF!,#REF!</definedName>
    <definedName name="クエリ1">#REF!</definedName>
    <definedName name="コイル">#REF!</definedName>
    <definedName name="セラコン">#REF!</definedName>
    <definedName name="セラミック部品">#REF!</definedName>
    <definedName name="センサ">#REF!</definedName>
    <definedName name="テーブル４">'[35]TABLE J'!$B$33:$F$44</definedName>
    <definedName name="テレカ">#REF!</definedName>
    <definedName name="バランスシート">[36]入力前提!#REF!</definedName>
    <definedName name="フェライト">#REF!</definedName>
    <definedName name="プリペイド">#REF!</definedName>
    <definedName name="プロジェクト">#REF!</definedName>
    <definedName name="主管">#REF!</definedName>
    <definedName name="予算0619">#REF!</definedName>
    <definedName name="事業部">#REF!</definedName>
    <definedName name="再圧縮後">#REF!</definedName>
    <definedName name="出荷高内訳">[36]入力前提!#REF!</definedName>
    <definedName name="加工品">#REF!</definedName>
    <definedName name="単独費用細目">[36]入力前提!#REF!</definedName>
    <definedName name="収支">[37]詳細予算!$P$10:$AB$106,[37]詳細予算!$P$108:$AB$189,[37]詳細予算!$P$191:$AB$238</definedName>
    <definedName name="受注見込">#REF!</definedName>
    <definedName name="受注連結データ">#REF!</definedName>
    <definedName name="合計">#REF!</definedName>
    <definedName name="品目ＭＳＴ">[38]品目ＭＳＴ!$P$13:$S$107</definedName>
    <definedName name="品目ＭＳＴ２">[38]品目ＭＳＴ!$C$11:$N$107</definedName>
    <definedName name="商社名">[39]設定!$A$2:$B$23</definedName>
    <definedName name="営業社手">[37]詳細予算!$AD$10:$AR$71,[37]詳細予算!$AD$73:$AR$134</definedName>
    <definedName name="圧電ｼﾞｬｲﾛ">#REF!</definedName>
    <definedName name="型別">#REF!</definedName>
    <definedName name="増減">#REF!</definedName>
    <definedName name="売上見込">#REF!</definedName>
    <definedName name="成約見込み時期選択ﾘｽﾄ">[40]Sheet1!$C$2:$C$12</definedName>
    <definedName name="所要工数">#REF!</definedName>
    <definedName name="投資">[37]詳細予算!$AT$10:$BI$101,[37]詳細予算!$AT$103:$BI$155</definedName>
    <definedName name="拠点">[41]変換!#REF!</definedName>
    <definedName name="拠点名">#REF!</definedName>
    <definedName name="振動品">#REF!</definedName>
    <definedName name="損益">[37]詳細予算!$B$10:$N$70,[37]詳細予算!$B$72:$N$146,[37]詳細予算!$B$148:$N$175</definedName>
    <definedName name="損益表">[36]入力前提!#REF!</definedName>
    <definedName name="新事業所コード">#REF!</definedName>
    <definedName name="新製品発売時期選択ﾘｽﾄ">[42]入力規則ﾘｽﾄ!$E$2:$E$9</definedName>
    <definedName name="新規・継続選択ﾘｽﾄ">[40]Sheet1!$A$2:$A$11</definedName>
    <definedName name="明細検索1">[43]明細①!$B$6:$CR$258</definedName>
    <definedName name="本社_FM">#REF!</definedName>
    <definedName name="本社_LC">#REF!</definedName>
    <definedName name="本社_MK">#REF!</definedName>
    <definedName name="本社_PM">#REF!</definedName>
    <definedName name="本社_ｲｯﾄﾘｳﾑ">#REF!</definedName>
    <definedName name="本社_ｶｰﾄﾞ">#REF!</definedName>
    <definedName name="本社_ｺｲﾙ">#REF!</definedName>
    <definedName name="本社_その他">#REF!</definedName>
    <definedName name="本社_ﾃﾞｰﾀ">#REF!</definedName>
    <definedName name="本社_電源">#REF!</definedName>
    <definedName name="材料">#REF!</definedName>
    <definedName name="構造総括表_国内連結">[36]入力前提!#REF!</definedName>
    <definedName name="構造表１">[36]入力前提!#REF!</definedName>
    <definedName name="構造表２">[36]入力前提!#REF!</definedName>
    <definedName name="構造表３">[36]入力前提!#REF!</definedName>
    <definedName name="構造表４">[36]入力前提!#REF!</definedName>
    <definedName name="注残単独データ">#REF!</definedName>
    <definedName name="特品">#REF!</definedName>
    <definedName name="特機">#REF!</definedName>
    <definedName name="生産技本">#REF!</definedName>
    <definedName name="真正">#REF!</definedName>
    <definedName name="総括表">[36]入力前提!#REF!</definedName>
    <definedName name="製造">#REF!</definedName>
    <definedName name="記録">#REF!</definedName>
    <definedName name="試製部">#REF!</definedName>
    <definedName name="費用_部別_">#REF!</definedName>
    <definedName name="資材費リスト">#REF!</definedName>
    <definedName name="通貨">[39]設定!$D$2:$H$12</definedName>
    <definedName name="部門ＭＳＴ">[44]部門ＭＳＴ!$B$9:$Z$121</definedName>
    <definedName name="金属磁性">#REF!</definedName>
    <definedName name="項目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12" l="1"/>
  <c r="K16" i="12"/>
  <c r="L16" i="12"/>
  <c r="M16" i="12"/>
  <c r="N16" i="12"/>
  <c r="O16" i="12"/>
  <c r="P16" i="12"/>
  <c r="Q16" i="12"/>
  <c r="R16" i="12"/>
  <c r="S16" i="12"/>
  <c r="S46" i="12" s="1"/>
  <c r="S53" i="12" s="1"/>
  <c r="T16" i="12"/>
  <c r="U16" i="12"/>
  <c r="U46" i="12" s="1"/>
  <c r="U53" i="12" s="1"/>
  <c r="V16" i="12"/>
  <c r="V46" i="12" s="1"/>
  <c r="V53" i="12" s="1"/>
  <c r="K20" i="12"/>
  <c r="K68" i="12" s="1"/>
  <c r="L20" i="12"/>
  <c r="L31" i="12" s="1"/>
  <c r="L46" i="12" s="1"/>
  <c r="L53" i="12" s="1"/>
  <c r="M20" i="12"/>
  <c r="N20" i="12"/>
  <c r="O20" i="12"/>
  <c r="P20" i="12"/>
  <c r="Q20" i="12"/>
  <c r="R20" i="12"/>
  <c r="S20" i="12"/>
  <c r="T20" i="12"/>
  <c r="U20" i="12"/>
  <c r="U31" i="12" s="1"/>
  <c r="V20" i="12"/>
  <c r="V31" i="12" s="1"/>
  <c r="K21" i="12"/>
  <c r="K36" i="12" s="1"/>
  <c r="L21" i="12"/>
  <c r="L36" i="12" s="1"/>
  <c r="M21" i="12"/>
  <c r="M68" i="12" s="1"/>
  <c r="N21" i="12"/>
  <c r="N36" i="12" s="1"/>
  <c r="O21" i="12"/>
  <c r="P21" i="12"/>
  <c r="Q21" i="12"/>
  <c r="R21" i="12"/>
  <c r="S21" i="12"/>
  <c r="T21" i="12"/>
  <c r="U21" i="12"/>
  <c r="V21" i="12"/>
  <c r="K22" i="12"/>
  <c r="L22" i="12"/>
  <c r="M22" i="12"/>
  <c r="M37" i="12" s="1"/>
  <c r="N22" i="12"/>
  <c r="N37" i="12" s="1"/>
  <c r="O22" i="12"/>
  <c r="O70" i="12" s="1"/>
  <c r="P22" i="12"/>
  <c r="P37" i="12" s="1"/>
  <c r="Q22" i="12"/>
  <c r="R22" i="12"/>
  <c r="S22" i="12"/>
  <c r="T22" i="12"/>
  <c r="U22" i="12"/>
  <c r="V22" i="12"/>
  <c r="K23" i="12"/>
  <c r="L23" i="12"/>
  <c r="M23" i="12"/>
  <c r="N23" i="12"/>
  <c r="O23" i="12"/>
  <c r="O38" i="12" s="1"/>
  <c r="P23" i="12"/>
  <c r="P38" i="12" s="1"/>
  <c r="Q23" i="12"/>
  <c r="Q38" i="12" s="1"/>
  <c r="R23" i="12"/>
  <c r="R38" i="12" s="1"/>
  <c r="S23" i="12"/>
  <c r="T23" i="12"/>
  <c r="U23" i="12"/>
  <c r="V23" i="12"/>
  <c r="K24" i="12"/>
  <c r="L24" i="12"/>
  <c r="M24" i="12"/>
  <c r="N24" i="12"/>
  <c r="O24" i="12"/>
  <c r="P24" i="12"/>
  <c r="Q24" i="12"/>
  <c r="Q39" i="12" s="1"/>
  <c r="R24" i="12"/>
  <c r="R39" i="12" s="1"/>
  <c r="S24" i="12"/>
  <c r="S39" i="12" s="1"/>
  <c r="T24" i="12"/>
  <c r="T39" i="12" s="1"/>
  <c r="U24" i="12"/>
  <c r="V24" i="12"/>
  <c r="K25" i="12"/>
  <c r="L25" i="12"/>
  <c r="M25" i="12"/>
  <c r="N25" i="12"/>
  <c r="O25" i="12"/>
  <c r="P25" i="12"/>
  <c r="Q25" i="12"/>
  <c r="R25" i="12"/>
  <c r="S25" i="12"/>
  <c r="S40" i="12" s="1"/>
  <c r="T25" i="12"/>
  <c r="T40" i="12" s="1"/>
  <c r="U25" i="12"/>
  <c r="U40" i="12" s="1"/>
  <c r="V25" i="12"/>
  <c r="V40" i="12" s="1"/>
  <c r="K26" i="12"/>
  <c r="L26" i="12"/>
  <c r="M26" i="12"/>
  <c r="N26" i="12"/>
  <c r="O26" i="12"/>
  <c r="P26" i="12"/>
  <c r="Q26" i="12"/>
  <c r="R26" i="12"/>
  <c r="S26" i="12"/>
  <c r="T26" i="12"/>
  <c r="U26" i="12"/>
  <c r="U41" i="12" s="1"/>
  <c r="V26" i="12"/>
  <c r="V41" i="12" s="1"/>
  <c r="K27" i="12"/>
  <c r="K42" i="12" s="1"/>
  <c r="L27" i="12"/>
  <c r="L42" i="12" s="1"/>
  <c r="M27" i="12"/>
  <c r="N27" i="12"/>
  <c r="O27" i="12"/>
  <c r="P27" i="12"/>
  <c r="Q27" i="12"/>
  <c r="R27" i="12"/>
  <c r="S27" i="12"/>
  <c r="T27" i="12"/>
  <c r="U27" i="12"/>
  <c r="V27" i="12"/>
  <c r="K28" i="12"/>
  <c r="K43" i="12" s="1"/>
  <c r="L28" i="12"/>
  <c r="L43" i="12" s="1"/>
  <c r="M28" i="12"/>
  <c r="M69" i="12" s="1"/>
  <c r="N28" i="12"/>
  <c r="N67" i="12" s="1"/>
  <c r="O28" i="12"/>
  <c r="P28" i="12"/>
  <c r="Q28" i="12"/>
  <c r="R28" i="12"/>
  <c r="S28" i="12"/>
  <c r="T28" i="12"/>
  <c r="U28" i="12"/>
  <c r="V28" i="12"/>
  <c r="K29" i="12"/>
  <c r="L29" i="12"/>
  <c r="M29" i="12"/>
  <c r="M44" i="12" s="1"/>
  <c r="N29" i="12"/>
  <c r="N44" i="12" s="1"/>
  <c r="O29" i="12"/>
  <c r="O44" i="12" s="1"/>
  <c r="P29" i="12"/>
  <c r="P44" i="12" s="1"/>
  <c r="Q29" i="12"/>
  <c r="R29" i="12"/>
  <c r="S29" i="12"/>
  <c r="T29" i="12"/>
  <c r="U29" i="12"/>
  <c r="V29" i="12"/>
  <c r="K30" i="12"/>
  <c r="L30" i="12"/>
  <c r="M30" i="12"/>
  <c r="N30" i="12"/>
  <c r="O30" i="12"/>
  <c r="O45" i="12" s="1"/>
  <c r="P30" i="12"/>
  <c r="P45" i="12" s="1"/>
  <c r="Q30" i="12"/>
  <c r="Q45" i="12" s="1"/>
  <c r="R30" i="12"/>
  <c r="R45" i="12" s="1"/>
  <c r="S30" i="12"/>
  <c r="T30" i="12"/>
  <c r="U30" i="12"/>
  <c r="V30" i="12"/>
  <c r="S31" i="12"/>
  <c r="M35" i="12"/>
  <c r="N35" i="12"/>
  <c r="O35" i="12"/>
  <c r="P35" i="12"/>
  <c r="Q35" i="12"/>
  <c r="R35" i="12"/>
  <c r="S35" i="12"/>
  <c r="T35" i="12"/>
  <c r="U35" i="12"/>
  <c r="V35" i="12"/>
  <c r="O36" i="12"/>
  <c r="P36" i="12"/>
  <c r="Q36" i="12"/>
  <c r="R36" i="12"/>
  <c r="S36" i="12"/>
  <c r="T36" i="12"/>
  <c r="U36" i="12"/>
  <c r="V36" i="12"/>
  <c r="K37" i="12"/>
  <c r="L37" i="12"/>
  <c r="Q37" i="12"/>
  <c r="R37" i="12"/>
  <c r="S37" i="12"/>
  <c r="T37" i="12"/>
  <c r="U37" i="12"/>
  <c r="V37" i="12"/>
  <c r="K38" i="12"/>
  <c r="L38" i="12"/>
  <c r="M38" i="12"/>
  <c r="N38" i="12"/>
  <c r="S38" i="12"/>
  <c r="T38" i="12"/>
  <c r="U38" i="12"/>
  <c r="V38" i="12"/>
  <c r="K39" i="12"/>
  <c r="L39" i="12"/>
  <c r="M39" i="12"/>
  <c r="N39" i="12"/>
  <c r="O39" i="12"/>
  <c r="P39" i="12"/>
  <c r="U39" i="12"/>
  <c r="V39" i="12"/>
  <c r="K40" i="12"/>
  <c r="L40" i="12"/>
  <c r="M40" i="12"/>
  <c r="N40" i="12"/>
  <c r="O40" i="12"/>
  <c r="P40" i="12"/>
  <c r="Q40" i="12"/>
  <c r="R40" i="12"/>
  <c r="K41" i="12"/>
  <c r="L41" i="12"/>
  <c r="M41" i="12"/>
  <c r="N41" i="12"/>
  <c r="O41" i="12"/>
  <c r="P41" i="12"/>
  <c r="Q41" i="12"/>
  <c r="R41" i="12"/>
  <c r="S41" i="12"/>
  <c r="T41" i="12"/>
  <c r="M42" i="12"/>
  <c r="N42" i="12"/>
  <c r="O42" i="12"/>
  <c r="P42" i="12"/>
  <c r="Q42" i="12"/>
  <c r="R42" i="12"/>
  <c r="S42" i="12"/>
  <c r="T42" i="12"/>
  <c r="U42" i="12"/>
  <c r="V42" i="12"/>
  <c r="O43" i="12"/>
  <c r="P43" i="12"/>
  <c r="Q43" i="12"/>
  <c r="R43" i="12"/>
  <c r="S43" i="12"/>
  <c r="T43" i="12"/>
  <c r="U43" i="12"/>
  <c r="V43" i="12"/>
  <c r="K44" i="12"/>
  <c r="L44" i="12"/>
  <c r="Q44" i="12"/>
  <c r="R44" i="12"/>
  <c r="S44" i="12"/>
  <c r="T44" i="12"/>
  <c r="U44" i="12"/>
  <c r="V44" i="12"/>
  <c r="K45" i="12"/>
  <c r="L45" i="12"/>
  <c r="M45" i="12"/>
  <c r="N45" i="12"/>
  <c r="S45" i="12"/>
  <c r="T45" i="12"/>
  <c r="U45" i="12"/>
  <c r="V45" i="12"/>
  <c r="K60" i="12"/>
  <c r="L60" i="12"/>
  <c r="N60" i="12"/>
  <c r="O60" i="12"/>
  <c r="P60" i="12"/>
  <c r="Q60" i="12"/>
  <c r="R60" i="12"/>
  <c r="S60" i="12"/>
  <c r="T60" i="12"/>
  <c r="U60" i="12"/>
  <c r="U54" i="12" s="1"/>
  <c r="V60" i="12"/>
  <c r="V54" i="12" s="1"/>
  <c r="K61" i="12"/>
  <c r="K55" i="12" s="1"/>
  <c r="L61" i="12"/>
  <c r="M61" i="12"/>
  <c r="N61" i="12"/>
  <c r="O61" i="12"/>
  <c r="P61" i="12"/>
  <c r="Q61" i="12"/>
  <c r="R61" i="12"/>
  <c r="S61" i="12"/>
  <c r="T61" i="12"/>
  <c r="U61" i="12"/>
  <c r="V61" i="12"/>
  <c r="K62" i="12"/>
  <c r="L62" i="12"/>
  <c r="M62" i="12"/>
  <c r="M56" i="12" s="1"/>
  <c r="N62" i="12"/>
  <c r="O62" i="12"/>
  <c r="P62" i="12"/>
  <c r="Q62" i="12"/>
  <c r="R62" i="12"/>
  <c r="S62" i="12"/>
  <c r="T62" i="12"/>
  <c r="U62" i="12"/>
  <c r="V62" i="12"/>
  <c r="K63" i="12"/>
  <c r="L63" i="12"/>
  <c r="M63" i="12"/>
  <c r="M57" i="12" s="1"/>
  <c r="N63" i="12"/>
  <c r="N57" i="12" s="1"/>
  <c r="O63" i="12"/>
  <c r="O57" i="12" s="1"/>
  <c r="P63" i="12"/>
  <c r="Q63" i="12"/>
  <c r="Q57" i="12" s="1"/>
  <c r="R63" i="12"/>
  <c r="R57" i="12" s="1"/>
  <c r="S63" i="12"/>
  <c r="S57" i="12" s="1"/>
  <c r="T63" i="12"/>
  <c r="T57" i="12" s="1"/>
  <c r="U63" i="12"/>
  <c r="V63" i="12"/>
  <c r="S67" i="12"/>
  <c r="T67" i="12"/>
  <c r="U67" i="12"/>
  <c r="V67" i="12"/>
  <c r="U68" i="12"/>
  <c r="V68" i="12"/>
  <c r="K69" i="12"/>
  <c r="K56" i="12" s="1"/>
  <c r="L69" i="12"/>
  <c r="L56" i="12" s="1"/>
  <c r="S69" i="12"/>
  <c r="T69" i="12"/>
  <c r="U69" i="12"/>
  <c r="V69" i="12"/>
  <c r="K70" i="12"/>
  <c r="L70" i="12"/>
  <c r="M70" i="12"/>
  <c r="N70" i="12"/>
  <c r="Q70" i="12"/>
  <c r="R70" i="12"/>
  <c r="S70" i="12"/>
  <c r="T70" i="12"/>
  <c r="U70" i="12"/>
  <c r="V70" i="12"/>
  <c r="T46" i="12" l="1"/>
  <c r="T53" i="12" s="1"/>
  <c r="N55" i="12"/>
  <c r="M55" i="12"/>
  <c r="O56" i="12"/>
  <c r="K54" i="12"/>
  <c r="R31" i="12"/>
  <c r="R46" i="12" s="1"/>
  <c r="R53" i="12" s="1"/>
  <c r="Q67" i="12"/>
  <c r="Q54" i="12" s="1"/>
  <c r="V55" i="12"/>
  <c r="Q31" i="12"/>
  <c r="Q46" i="12" s="1"/>
  <c r="Q53" i="12" s="1"/>
  <c r="R67" i="12"/>
  <c r="R54" i="12" s="1"/>
  <c r="P31" i="12"/>
  <c r="P46" i="12" s="1"/>
  <c r="P53" i="12" s="1"/>
  <c r="S68" i="12"/>
  <c r="O31" i="12"/>
  <c r="O46" i="12" s="1"/>
  <c r="O53" i="12" s="1"/>
  <c r="P67" i="12"/>
  <c r="P54" i="12" s="1"/>
  <c r="N31" i="12"/>
  <c r="N46" i="12" s="1"/>
  <c r="N53" i="12" s="1"/>
  <c r="O67" i="12"/>
  <c r="O54" i="12" s="1"/>
  <c r="L57" i="12"/>
  <c r="K57" i="12"/>
  <c r="L35" i="12"/>
  <c r="R56" i="12"/>
  <c r="T31" i="12"/>
  <c r="R68" i="12"/>
  <c r="R69" i="12"/>
  <c r="N54" i="12"/>
  <c r="Q68" i="12"/>
  <c r="Q55" i="12" s="1"/>
  <c r="M31" i="12"/>
  <c r="M46" i="12" s="1"/>
  <c r="M53" i="12" s="1"/>
  <c r="P68" i="12"/>
  <c r="P55" i="12" s="1"/>
  <c r="T54" i="12"/>
  <c r="Q69" i="12"/>
  <c r="Q56" i="12" s="1"/>
  <c r="M67" i="12"/>
  <c r="M54" i="12" s="1"/>
  <c r="S54" i="12"/>
  <c r="K31" i="12"/>
  <c r="K46" i="12" s="1"/>
  <c r="K53" i="12" s="1"/>
  <c r="N68" i="12"/>
  <c r="V56" i="12"/>
  <c r="N43" i="12"/>
  <c r="O69" i="12"/>
  <c r="K67" i="12"/>
  <c r="S55" i="12"/>
  <c r="M43" i="12"/>
  <c r="M36" i="12"/>
  <c r="K35" i="12"/>
  <c r="P70" i="12"/>
  <c r="P57" i="12" s="1"/>
  <c r="N69" i="12"/>
  <c r="N56" i="12" s="1"/>
  <c r="L68" i="12"/>
  <c r="L55" i="12" s="1"/>
  <c r="V57" i="12"/>
  <c r="T56" i="12"/>
  <c r="R55" i="12"/>
  <c r="T68" i="12"/>
  <c r="O68" i="12"/>
  <c r="O55" i="12" s="1"/>
  <c r="U55" i="12"/>
  <c r="P69" i="12"/>
  <c r="P56" i="12" s="1"/>
  <c r="L67" i="12"/>
  <c r="L54" i="12" s="1"/>
  <c r="T55" i="12"/>
  <c r="U56" i="12"/>
  <c r="O37" i="12"/>
  <c r="U57" i="12"/>
  <c r="S56" i="12"/>
  <c r="Q60" i="11"/>
  <c r="Q61" i="11"/>
  <c r="J52" i="11"/>
  <c r="K52" i="11"/>
  <c r="L52" i="11"/>
  <c r="M52" i="11"/>
  <c r="N52" i="11"/>
  <c r="O52" i="11"/>
  <c r="P52" i="11"/>
  <c r="Q52" i="11"/>
  <c r="R52" i="11"/>
  <c r="S52" i="11"/>
  <c r="T52" i="11"/>
  <c r="J53" i="11"/>
  <c r="K53" i="11"/>
  <c r="L53" i="11"/>
  <c r="M53" i="11"/>
  <c r="N53" i="11"/>
  <c r="O53" i="11"/>
  <c r="P53" i="11"/>
  <c r="Q53" i="11"/>
  <c r="R53" i="11"/>
  <c r="S53" i="11"/>
  <c r="T53" i="11"/>
  <c r="J54" i="11"/>
  <c r="K54" i="11"/>
  <c r="L54" i="11"/>
  <c r="M54" i="11"/>
  <c r="N54" i="11"/>
  <c r="O54" i="11"/>
  <c r="P54" i="11"/>
  <c r="Q54" i="11"/>
  <c r="R54" i="11"/>
  <c r="S54" i="11"/>
  <c r="T54" i="11"/>
  <c r="J55" i="11"/>
  <c r="K55" i="11"/>
  <c r="L55" i="11"/>
  <c r="M55" i="11"/>
  <c r="N55" i="11"/>
  <c r="O55" i="11"/>
  <c r="P55" i="11"/>
  <c r="Q55" i="11"/>
  <c r="R55" i="11"/>
  <c r="S55" i="11"/>
  <c r="T55" i="11"/>
  <c r="I55" i="11"/>
  <c r="I54" i="11"/>
  <c r="I53" i="11"/>
  <c r="I52" i="11"/>
  <c r="T30" i="11"/>
  <c r="T45" i="11" s="1"/>
  <c r="S30" i="11"/>
  <c r="S45" i="11" s="1"/>
  <c r="R30" i="11"/>
  <c r="R45" i="11" s="1"/>
  <c r="Q30" i="11"/>
  <c r="Q45" i="11" s="1"/>
  <c r="P30" i="11"/>
  <c r="P45" i="11" s="1"/>
  <c r="O30" i="11"/>
  <c r="O45" i="11" s="1"/>
  <c r="N30" i="11"/>
  <c r="N45" i="11" s="1"/>
  <c r="M30" i="11"/>
  <c r="M45" i="11" s="1"/>
  <c r="L30" i="11"/>
  <c r="L45" i="11" s="1"/>
  <c r="K30" i="11"/>
  <c r="K45" i="11" s="1"/>
  <c r="J30" i="11"/>
  <c r="J45" i="11" s="1"/>
  <c r="I30" i="11"/>
  <c r="I45" i="11" s="1"/>
  <c r="T29" i="11"/>
  <c r="T44" i="11" s="1"/>
  <c r="S29" i="11"/>
  <c r="S44" i="11" s="1"/>
  <c r="R29" i="11"/>
  <c r="R44" i="11" s="1"/>
  <c r="Q29" i="11"/>
  <c r="Q44" i="11" s="1"/>
  <c r="P29" i="11"/>
  <c r="P44" i="11" s="1"/>
  <c r="O29" i="11"/>
  <c r="O44" i="11" s="1"/>
  <c r="N29" i="11"/>
  <c r="N44" i="11" s="1"/>
  <c r="M29" i="11"/>
  <c r="M44" i="11" s="1"/>
  <c r="L29" i="11"/>
  <c r="L44" i="11" s="1"/>
  <c r="K29" i="11"/>
  <c r="K44" i="11" s="1"/>
  <c r="J29" i="11"/>
  <c r="J44" i="11" s="1"/>
  <c r="I29" i="11"/>
  <c r="I44" i="11" s="1"/>
  <c r="T28" i="11"/>
  <c r="T43" i="11" s="1"/>
  <c r="S28" i="11"/>
  <c r="S61" i="11" s="1"/>
  <c r="R28" i="11"/>
  <c r="R43" i="11" s="1"/>
  <c r="Q28" i="11"/>
  <c r="Q43" i="11" s="1"/>
  <c r="P28" i="11"/>
  <c r="P43" i="11" s="1"/>
  <c r="O28" i="11"/>
  <c r="N28" i="11"/>
  <c r="N61" i="11" s="1"/>
  <c r="AD22" i="11" s="1"/>
  <c r="M28" i="11"/>
  <c r="L28" i="11"/>
  <c r="L43" i="11" s="1"/>
  <c r="K28" i="11"/>
  <c r="K43" i="11" s="1"/>
  <c r="J28" i="11"/>
  <c r="J43" i="11" s="1"/>
  <c r="I28" i="11"/>
  <c r="T27" i="11"/>
  <c r="T42" i="11" s="1"/>
  <c r="S27" i="11"/>
  <c r="S42" i="11" s="1"/>
  <c r="R27" i="11"/>
  <c r="R42" i="11" s="1"/>
  <c r="Q27" i="11"/>
  <c r="Q42" i="11" s="1"/>
  <c r="P27" i="11"/>
  <c r="P42" i="11" s="1"/>
  <c r="O27" i="11"/>
  <c r="O42" i="11" s="1"/>
  <c r="N27" i="11"/>
  <c r="N42" i="11" s="1"/>
  <c r="M27" i="11"/>
  <c r="M42" i="11" s="1"/>
  <c r="L27" i="11"/>
  <c r="L42" i="11" s="1"/>
  <c r="K27" i="11"/>
  <c r="K42" i="11" s="1"/>
  <c r="J27" i="11"/>
  <c r="J42" i="11" s="1"/>
  <c r="I27" i="11"/>
  <c r="I42" i="11" s="1"/>
  <c r="T26" i="11"/>
  <c r="S26" i="11"/>
  <c r="S41" i="11" s="1"/>
  <c r="R26" i="11"/>
  <c r="R41" i="11" s="1"/>
  <c r="Q26" i="11"/>
  <c r="Q59" i="11" s="1"/>
  <c r="P26" i="11"/>
  <c r="O26" i="11"/>
  <c r="O41" i="11" s="1"/>
  <c r="N26" i="11"/>
  <c r="N41" i="11" s="1"/>
  <c r="M26" i="11"/>
  <c r="M41" i="11" s="1"/>
  <c r="L26" i="11"/>
  <c r="L59" i="11" s="1"/>
  <c r="K26" i="11"/>
  <c r="K41" i="11" s="1"/>
  <c r="J26" i="11"/>
  <c r="J59" i="11" s="1"/>
  <c r="I26" i="11"/>
  <c r="I59" i="11" s="1"/>
  <c r="T25" i="11"/>
  <c r="T40" i="11" s="1"/>
  <c r="S25" i="11"/>
  <c r="S40" i="11" s="1"/>
  <c r="R25" i="11"/>
  <c r="R40" i="11" s="1"/>
  <c r="Q25" i="11"/>
  <c r="Q40" i="11" s="1"/>
  <c r="P25" i="11"/>
  <c r="P40" i="11" s="1"/>
  <c r="O25" i="11"/>
  <c r="O40" i="11" s="1"/>
  <c r="N25" i="11"/>
  <c r="N40" i="11" s="1"/>
  <c r="M25" i="11"/>
  <c r="M40" i="11" s="1"/>
  <c r="L25" i="11"/>
  <c r="L40" i="11" s="1"/>
  <c r="K25" i="11"/>
  <c r="K40" i="11" s="1"/>
  <c r="J25" i="11"/>
  <c r="J40" i="11" s="1"/>
  <c r="I25" i="11"/>
  <c r="I40" i="11" s="1"/>
  <c r="T24" i="11"/>
  <c r="S24" i="11"/>
  <c r="S39" i="11" s="1"/>
  <c r="R24" i="11"/>
  <c r="R39" i="11" s="1"/>
  <c r="Q24" i="11"/>
  <c r="Q39" i="11" s="1"/>
  <c r="P24" i="11"/>
  <c r="P39" i="11" s="1"/>
  <c r="O24" i="11"/>
  <c r="O39" i="11" s="1"/>
  <c r="N24" i="11"/>
  <c r="M24" i="11"/>
  <c r="M39" i="11" s="1"/>
  <c r="L24" i="11"/>
  <c r="L39" i="11" s="1"/>
  <c r="K24" i="11"/>
  <c r="K39" i="11" s="1"/>
  <c r="J24" i="11"/>
  <c r="J39" i="11" s="1"/>
  <c r="I24" i="11"/>
  <c r="I39" i="11" s="1"/>
  <c r="T23" i="11"/>
  <c r="T38" i="11" s="1"/>
  <c r="S23" i="11"/>
  <c r="S38" i="11" s="1"/>
  <c r="R23" i="11"/>
  <c r="R38" i="11" s="1"/>
  <c r="Q23" i="11"/>
  <c r="Q38" i="11" s="1"/>
  <c r="P23" i="11"/>
  <c r="P38" i="11" s="1"/>
  <c r="O23" i="11"/>
  <c r="O38" i="11" s="1"/>
  <c r="N23" i="11"/>
  <c r="N38" i="11" s="1"/>
  <c r="M23" i="11"/>
  <c r="M38" i="11" s="1"/>
  <c r="L23" i="11"/>
  <c r="L38" i="11" s="1"/>
  <c r="K23" i="11"/>
  <c r="K38" i="11" s="1"/>
  <c r="J23" i="11"/>
  <c r="J38" i="11" s="1"/>
  <c r="I23" i="11"/>
  <c r="I38" i="11" s="1"/>
  <c r="T22" i="11"/>
  <c r="T37" i="11" s="1"/>
  <c r="S22" i="11"/>
  <c r="S37" i="11" s="1"/>
  <c r="R22" i="11"/>
  <c r="R37" i="11" s="1"/>
  <c r="Q22" i="11"/>
  <c r="Q37" i="11" s="1"/>
  <c r="P22" i="11"/>
  <c r="P37" i="11" s="1"/>
  <c r="O22" i="11"/>
  <c r="O37" i="11" s="1"/>
  <c r="N22" i="11"/>
  <c r="N37" i="11" s="1"/>
  <c r="M22" i="11"/>
  <c r="M37" i="11" s="1"/>
  <c r="L22" i="11"/>
  <c r="L37" i="11" s="1"/>
  <c r="K22" i="11"/>
  <c r="K37" i="11" s="1"/>
  <c r="J22" i="11"/>
  <c r="J37" i="11" s="1"/>
  <c r="I22" i="11"/>
  <c r="I37" i="11" s="1"/>
  <c r="T21" i="11"/>
  <c r="T36" i="11" s="1"/>
  <c r="S21" i="11"/>
  <c r="S62" i="11" s="1"/>
  <c r="R21" i="11"/>
  <c r="Q21" i="11"/>
  <c r="Q36" i="11" s="1"/>
  <c r="P21" i="11"/>
  <c r="P36" i="11" s="1"/>
  <c r="O21" i="11"/>
  <c r="O62" i="11" s="1"/>
  <c r="N21" i="11"/>
  <c r="N62" i="11" s="1"/>
  <c r="M21" i="11"/>
  <c r="M36" i="11" s="1"/>
  <c r="L21" i="11"/>
  <c r="L36" i="11" s="1"/>
  <c r="K21" i="11"/>
  <c r="J21" i="11"/>
  <c r="J36" i="11" s="1"/>
  <c r="I21" i="11"/>
  <c r="I62" i="11" s="1"/>
  <c r="T20" i="11"/>
  <c r="T35" i="11" s="1"/>
  <c r="S20" i="11"/>
  <c r="R20" i="11"/>
  <c r="R35" i="11" s="1"/>
  <c r="Q20" i="11"/>
  <c r="P20" i="11"/>
  <c r="P35" i="11" s="1"/>
  <c r="O20" i="11"/>
  <c r="O35" i="11" s="1"/>
  <c r="N20" i="11"/>
  <c r="N35" i="11" s="1"/>
  <c r="M20" i="11"/>
  <c r="M35" i="11" s="1"/>
  <c r="L20" i="11"/>
  <c r="L35" i="11" s="1"/>
  <c r="K20" i="11"/>
  <c r="K35" i="11" s="1"/>
  <c r="J20" i="11"/>
  <c r="J35" i="11" s="1"/>
  <c r="I20" i="11"/>
  <c r="I35" i="11" s="1"/>
  <c r="K61" i="11" l="1"/>
  <c r="K62" i="11"/>
  <c r="T59" i="11"/>
  <c r="I61" i="11"/>
  <c r="O61" i="11"/>
  <c r="AE22" i="11" s="1"/>
  <c r="Q31" i="11"/>
  <c r="L41" i="11"/>
  <c r="M61" i="11"/>
  <c r="AC22" i="11" s="1"/>
  <c r="L61" i="11"/>
  <c r="AB22" i="11" s="1"/>
  <c r="J41" i="11"/>
  <c r="Q41" i="11"/>
  <c r="S43" i="11"/>
  <c r="O59" i="11"/>
  <c r="AE20" i="11" s="1"/>
  <c r="AI22" i="11"/>
  <c r="AE23" i="11"/>
  <c r="AG20" i="11"/>
  <c r="Q35" i="11"/>
  <c r="AJ20" i="11"/>
  <c r="R62" i="11"/>
  <c r="AH23" i="11" s="1"/>
  <c r="T61" i="11"/>
  <c r="AJ22" i="11" s="1"/>
  <c r="AG21" i="11"/>
  <c r="AB20" i="11"/>
  <c r="M59" i="11"/>
  <c r="AC20" i="11" s="1"/>
  <c r="I43" i="11"/>
  <c r="AD23" i="11"/>
  <c r="K59" i="11"/>
  <c r="AA20" i="11" s="1"/>
  <c r="T41" i="11"/>
  <c r="J61" i="11"/>
  <c r="Z22" i="11" s="1"/>
  <c r="AG22" i="11"/>
  <c r="P31" i="11"/>
  <c r="P59" i="11"/>
  <c r="AF20" i="11" s="1"/>
  <c r="Z20" i="11"/>
  <c r="I41" i="11"/>
  <c r="Y20" i="11"/>
  <c r="AA22" i="11"/>
  <c r="S31" i="11"/>
  <c r="I36" i="11"/>
  <c r="K36" i="11"/>
  <c r="M62" i="11"/>
  <c r="AC23" i="11" s="1"/>
  <c r="L62" i="11"/>
  <c r="AB23" i="11" s="1"/>
  <c r="R36" i="11"/>
  <c r="T62" i="11"/>
  <c r="AJ23" i="11" s="1"/>
  <c r="S36" i="11"/>
  <c r="AI23" i="11"/>
  <c r="Y23" i="11"/>
  <c r="Y22" i="11"/>
  <c r="AA23" i="11"/>
  <c r="N59" i="11"/>
  <c r="AD20" i="11" s="1"/>
  <c r="S35" i="11"/>
  <c r="J62" i="11"/>
  <c r="Z23" i="11" s="1"/>
  <c r="S60" i="11"/>
  <c r="AI21" i="11" s="1"/>
  <c r="P60" i="11"/>
  <c r="AF21" i="11" s="1"/>
  <c r="T31" i="11"/>
  <c r="M43" i="11"/>
  <c r="R61" i="11"/>
  <c r="AH22" i="11" s="1"/>
  <c r="O60" i="11"/>
  <c r="AE21" i="11" s="1"/>
  <c r="N60" i="11"/>
  <c r="AD21" i="11" s="1"/>
  <c r="N43" i="11"/>
  <c r="J60" i="11"/>
  <c r="Z21" i="11" s="1"/>
  <c r="N36" i="11"/>
  <c r="O43" i="11"/>
  <c r="Q62" i="11"/>
  <c r="AG23" i="11" s="1"/>
  <c r="P61" i="11"/>
  <c r="AF22" i="11" s="1"/>
  <c r="S59" i="11"/>
  <c r="AI20" i="11" s="1"/>
  <c r="P62" i="11"/>
  <c r="AF23" i="11" s="1"/>
  <c r="R59" i="11"/>
  <c r="AH20" i="11" s="1"/>
  <c r="R60" i="11"/>
  <c r="AH21" i="11" s="1"/>
  <c r="I60" i="11"/>
  <c r="Y21" i="11" s="1"/>
  <c r="O36" i="11"/>
  <c r="L60" i="11"/>
  <c r="AB21" i="11" s="1"/>
  <c r="N39" i="11"/>
  <c r="M60" i="11"/>
  <c r="AC21" i="11" s="1"/>
  <c r="P41" i="11"/>
  <c r="O31" i="11"/>
  <c r="K60" i="11"/>
  <c r="AA21" i="11" s="1"/>
  <c r="T39" i="11"/>
  <c r="T60" i="11"/>
  <c r="AJ21" i="11" s="1"/>
  <c r="R31" i="11"/>
  <c r="I31" i="11"/>
  <c r="N31" i="11"/>
  <c r="L31" i="11"/>
  <c r="K31" i="11"/>
  <c r="J31" i="11"/>
  <c r="M31" i="11"/>
  <c r="T16" i="11" l="1"/>
  <c r="T46" i="11" s="1"/>
  <c r="AJ19" i="11" s="1"/>
  <c r="S16" i="11"/>
  <c r="S46" i="11" s="1"/>
  <c r="AI19" i="11" s="1"/>
  <c r="R16" i="11"/>
  <c r="R46" i="11" s="1"/>
  <c r="AH19" i="11" s="1"/>
  <c r="Q16" i="11"/>
  <c r="Q46" i="11" s="1"/>
  <c r="AG19" i="11" s="1"/>
  <c r="P16" i="11"/>
  <c r="P46" i="11" s="1"/>
  <c r="AF19" i="11" s="1"/>
  <c r="O16" i="11"/>
  <c r="O46" i="11" s="1"/>
  <c r="AE19" i="11" s="1"/>
  <c r="N16" i="11"/>
  <c r="N46" i="11" s="1"/>
  <c r="AD19" i="11" s="1"/>
  <c r="M16" i="11"/>
  <c r="M46" i="11" s="1"/>
  <c r="AC19" i="11" s="1"/>
  <c r="L16" i="11"/>
  <c r="L46" i="11" s="1"/>
  <c r="AB19" i="11" s="1"/>
  <c r="K16" i="11"/>
  <c r="K46" i="11" s="1"/>
  <c r="AA19" i="11" s="1"/>
  <c r="J16" i="11"/>
  <c r="J46" i="11" s="1"/>
  <c r="Z19" i="11" s="1"/>
  <c r="I16" i="11"/>
  <c r="I46" i="11" s="1"/>
  <c r="Y19" i="11" s="1"/>
  <c r="AD16" i="10" l="1"/>
  <c r="S16" i="10"/>
  <c r="AI16" i="10" s="1"/>
  <c r="R16" i="10"/>
  <c r="AH16" i="10" s="1"/>
  <c r="Q16" i="10"/>
  <c r="AG16" i="10" s="1"/>
  <c r="P16" i="10"/>
  <c r="AF16" i="10" s="1"/>
  <c r="O16" i="10"/>
  <c r="AE16" i="10" s="1"/>
  <c r="N16" i="10"/>
  <c r="M16" i="10"/>
  <c r="AC16" i="10" s="1"/>
  <c r="L16" i="10"/>
  <c r="AB16" i="10" s="1"/>
  <c r="K16" i="10"/>
  <c r="AA16" i="10" s="1"/>
  <c r="J16" i="10"/>
  <c r="Z16" i="10" s="1"/>
  <c r="I16" i="10"/>
  <c r="Y16" i="10" s="1"/>
  <c r="H16" i="10"/>
  <c r="X16" i="10" s="1"/>
  <c r="P53" i="9"/>
  <c r="O53" i="9"/>
  <c r="N53" i="9"/>
  <c r="M53" i="9"/>
  <c r="L53" i="9"/>
  <c r="K53" i="9"/>
  <c r="J53" i="9"/>
  <c r="I53" i="9"/>
  <c r="H53" i="9"/>
  <c r="P48" i="9"/>
  <c r="P50" i="9" s="1"/>
  <c r="P47" i="9"/>
  <c r="P46" i="9"/>
  <c r="P44" i="9"/>
  <c r="P43" i="9"/>
  <c r="P41" i="9"/>
  <c r="P40" i="9"/>
  <c r="P39" i="9"/>
  <c r="P38" i="9"/>
  <c r="P37" i="9"/>
  <c r="S30" i="9"/>
  <c r="R30" i="9"/>
  <c r="Q30" i="9"/>
  <c r="P30" i="9"/>
  <c r="O30" i="9"/>
  <c r="N30" i="9"/>
  <c r="M30" i="9"/>
  <c r="L30" i="9"/>
  <c r="K30" i="9"/>
  <c r="J30" i="9"/>
  <c r="I30" i="9"/>
  <c r="H30" i="9"/>
  <c r="S29" i="9"/>
  <c r="R29" i="9"/>
  <c r="Q29" i="9"/>
  <c r="P29" i="9"/>
  <c r="O29" i="9"/>
  <c r="N29" i="9"/>
  <c r="M29" i="9"/>
  <c r="L29" i="9"/>
  <c r="K29" i="9"/>
  <c r="J29" i="9"/>
  <c r="I29" i="9"/>
  <c r="H29" i="9"/>
  <c r="S28" i="9"/>
  <c r="R28" i="9"/>
  <c r="Q28" i="9"/>
  <c r="P28" i="9"/>
  <c r="O28" i="9"/>
  <c r="N28" i="9"/>
  <c r="M28" i="9"/>
  <c r="L28" i="9"/>
  <c r="K28" i="9"/>
  <c r="J28" i="9"/>
  <c r="I28" i="9"/>
  <c r="H28" i="9"/>
  <c r="S27" i="9"/>
  <c r="R27" i="9"/>
  <c r="Q27" i="9"/>
  <c r="P27" i="9"/>
  <c r="O27" i="9"/>
  <c r="N27" i="9"/>
  <c r="M27" i="9"/>
  <c r="L27" i="9"/>
  <c r="K27" i="9"/>
  <c r="J27" i="9"/>
  <c r="I27" i="9"/>
  <c r="H27" i="9"/>
  <c r="S26" i="9"/>
  <c r="R26" i="9"/>
  <c r="Q26" i="9"/>
  <c r="P26" i="9"/>
  <c r="O26" i="9"/>
  <c r="N26" i="9"/>
  <c r="M26" i="9"/>
  <c r="L26" i="9"/>
  <c r="K26" i="9"/>
  <c r="J26" i="9"/>
  <c r="I26" i="9"/>
  <c r="H26" i="9"/>
  <c r="S25" i="9"/>
  <c r="R25" i="9"/>
  <c r="Q25" i="9"/>
  <c r="P25" i="9"/>
  <c r="O25" i="9"/>
  <c r="N25" i="9"/>
  <c r="M25" i="9"/>
  <c r="L25" i="9"/>
  <c r="K25" i="9"/>
  <c r="J25" i="9"/>
  <c r="I25" i="9"/>
  <c r="H25" i="9"/>
  <c r="S24" i="9"/>
  <c r="R24" i="9"/>
  <c r="Q24" i="9"/>
  <c r="P24" i="9"/>
  <c r="O24" i="9"/>
  <c r="N24" i="9"/>
  <c r="M24" i="9"/>
  <c r="L24" i="9"/>
  <c r="K24" i="9"/>
  <c r="J24" i="9"/>
  <c r="I24" i="9"/>
  <c r="H24" i="9"/>
  <c r="S23" i="9"/>
  <c r="R23" i="9"/>
  <c r="Q23" i="9"/>
  <c r="P23" i="9"/>
  <c r="O23" i="9"/>
  <c r="N23" i="9"/>
  <c r="M23" i="9"/>
  <c r="L23" i="9"/>
  <c r="K23" i="9"/>
  <c r="J23" i="9"/>
  <c r="I23" i="9"/>
  <c r="H23" i="9"/>
  <c r="S22" i="9"/>
  <c r="R22" i="9"/>
  <c r="Q22" i="9"/>
  <c r="P22" i="9"/>
  <c r="O22" i="9"/>
  <c r="N22" i="9"/>
  <c r="M22" i="9"/>
  <c r="L22" i="9"/>
  <c r="K22" i="9"/>
  <c r="J22" i="9"/>
  <c r="I22" i="9"/>
  <c r="H22" i="9"/>
  <c r="S21" i="9"/>
  <c r="R21" i="9"/>
  <c r="Q21" i="9"/>
  <c r="P21" i="9"/>
  <c r="O21" i="9"/>
  <c r="N21" i="9"/>
  <c r="M21" i="9"/>
  <c r="L21" i="9"/>
  <c r="K21" i="9"/>
  <c r="J21" i="9"/>
  <c r="I21" i="9"/>
  <c r="H21" i="9"/>
  <c r="S20" i="9"/>
  <c r="R20" i="9"/>
  <c r="Q20" i="9"/>
  <c r="P20" i="9"/>
  <c r="O20" i="9"/>
  <c r="N20" i="9"/>
  <c r="M20" i="9"/>
  <c r="L20" i="9"/>
  <c r="K20" i="9"/>
  <c r="J20" i="9"/>
  <c r="I20" i="9"/>
  <c r="H20" i="9"/>
  <c r="Y16" i="5" l="1"/>
  <c r="Z16" i="5"/>
  <c r="AA16" i="5"/>
  <c r="AB16" i="5"/>
  <c r="AC16" i="5"/>
  <c r="AD16" i="5"/>
  <c r="AE16" i="5"/>
  <c r="AF16" i="5"/>
  <c r="AG16" i="5"/>
  <c r="AH16" i="5"/>
  <c r="AI16" i="5"/>
  <c r="X16" i="5"/>
  <c r="S16" i="5"/>
  <c r="R16" i="5"/>
  <c r="Q16" i="5"/>
  <c r="P16" i="5"/>
  <c r="O16" i="5"/>
  <c r="N16" i="5"/>
  <c r="M16" i="5"/>
  <c r="L16" i="5"/>
  <c r="K16" i="5"/>
  <c r="J16" i="5"/>
  <c r="I16" i="5"/>
  <c r="H16" i="5"/>
  <c r="R262" i="6"/>
  <c r="Q262" i="6"/>
  <c r="P262" i="6"/>
  <c r="O262" i="6"/>
  <c r="N262" i="6"/>
  <c r="M262" i="6"/>
  <c r="G262" i="6"/>
  <c r="H262" i="6"/>
  <c r="I262" i="6"/>
  <c r="J262" i="6"/>
  <c r="K262" i="6"/>
  <c r="F262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F260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F259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F258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F257" i="6"/>
  <c r="R252" i="6"/>
  <c r="Q252" i="6"/>
  <c r="P252" i="6"/>
  <c r="O252" i="6"/>
  <c r="N252" i="6"/>
  <c r="M252" i="6"/>
  <c r="K252" i="6"/>
  <c r="J252" i="6"/>
  <c r="I252" i="6"/>
  <c r="H252" i="6"/>
  <c r="G252" i="6"/>
  <c r="F252" i="6"/>
  <c r="S251" i="6"/>
  <c r="L251" i="6"/>
  <c r="S250" i="6"/>
  <c r="L250" i="6"/>
  <c r="S249" i="6"/>
  <c r="L249" i="6"/>
  <c r="S248" i="6"/>
  <c r="L248" i="6"/>
  <c r="S247" i="6"/>
  <c r="L247" i="6"/>
  <c r="S246" i="6"/>
  <c r="L246" i="6"/>
  <c r="S245" i="6"/>
  <c r="L245" i="6"/>
  <c r="S244" i="6"/>
  <c r="L244" i="6"/>
  <c r="S243" i="6"/>
  <c r="L243" i="6"/>
  <c r="S242" i="6"/>
  <c r="L242" i="6"/>
  <c r="S241" i="6"/>
  <c r="L241" i="6"/>
  <c r="S240" i="6"/>
  <c r="L240" i="6"/>
  <c r="S239" i="6"/>
  <c r="L239" i="6"/>
  <c r="S238" i="6"/>
  <c r="L238" i="6"/>
  <c r="S237" i="6"/>
  <c r="L237" i="6"/>
  <c r="S236" i="6"/>
  <c r="L236" i="6"/>
  <c r="S235" i="6"/>
  <c r="L235" i="6"/>
  <c r="S234" i="6"/>
  <c r="L234" i="6"/>
  <c r="S233" i="6"/>
  <c r="L233" i="6"/>
  <c r="E233" i="6"/>
  <c r="S232" i="6"/>
  <c r="L232" i="6"/>
  <c r="S231" i="6"/>
  <c r="L231" i="6"/>
  <c r="E231" i="6"/>
  <c r="S230" i="6"/>
  <c r="L230" i="6"/>
  <c r="S229" i="6"/>
  <c r="L229" i="6"/>
  <c r="S228" i="6"/>
  <c r="L228" i="6"/>
  <c r="S227" i="6"/>
  <c r="L227" i="6"/>
  <c r="S226" i="6"/>
  <c r="L226" i="6"/>
  <c r="E226" i="6"/>
  <c r="S225" i="6"/>
  <c r="L225" i="6"/>
  <c r="E225" i="6"/>
  <c r="S224" i="6"/>
  <c r="L224" i="6"/>
  <c r="S223" i="6"/>
  <c r="L223" i="6"/>
  <c r="S222" i="6"/>
  <c r="L222" i="6"/>
  <c r="S221" i="6"/>
  <c r="L221" i="6"/>
  <c r="E221" i="6"/>
  <c r="S220" i="6"/>
  <c r="L220" i="6"/>
  <c r="R219" i="6"/>
  <c r="Q219" i="6"/>
  <c r="P219" i="6"/>
  <c r="O219" i="6"/>
  <c r="N219" i="6"/>
  <c r="M219" i="6"/>
  <c r="K219" i="6"/>
  <c r="J219" i="6"/>
  <c r="I219" i="6"/>
  <c r="H219" i="6"/>
  <c r="G219" i="6"/>
  <c r="F219" i="6"/>
  <c r="S218" i="6"/>
  <c r="L218" i="6"/>
  <c r="S217" i="6"/>
  <c r="L217" i="6"/>
  <c r="S216" i="6"/>
  <c r="L216" i="6"/>
  <c r="S215" i="6"/>
  <c r="L215" i="6"/>
  <c r="S214" i="6"/>
  <c r="L214" i="6"/>
  <c r="S213" i="6"/>
  <c r="L213" i="6"/>
  <c r="S212" i="6"/>
  <c r="L212" i="6"/>
  <c r="S211" i="6"/>
  <c r="L211" i="6"/>
  <c r="S210" i="6"/>
  <c r="L210" i="6"/>
  <c r="S209" i="6"/>
  <c r="L209" i="6"/>
  <c r="S208" i="6"/>
  <c r="L208" i="6"/>
  <c r="S207" i="6"/>
  <c r="L207" i="6"/>
  <c r="S206" i="6"/>
  <c r="L206" i="6"/>
  <c r="S205" i="6"/>
  <c r="L205" i="6"/>
  <c r="S204" i="6"/>
  <c r="L204" i="6"/>
  <c r="S203" i="6"/>
  <c r="L203" i="6"/>
  <c r="S202" i="6"/>
  <c r="L202" i="6"/>
  <c r="S201" i="6"/>
  <c r="L201" i="6"/>
  <c r="E201" i="6"/>
  <c r="S200" i="6"/>
  <c r="L200" i="6"/>
  <c r="S199" i="6"/>
  <c r="L199" i="6"/>
  <c r="S198" i="6"/>
  <c r="L198" i="6"/>
  <c r="S197" i="6"/>
  <c r="L197" i="6"/>
  <c r="S196" i="6"/>
  <c r="L196" i="6"/>
  <c r="E196" i="6"/>
  <c r="S195" i="6"/>
  <c r="L195" i="6"/>
  <c r="S194" i="6"/>
  <c r="L194" i="6"/>
  <c r="S193" i="6"/>
  <c r="L193" i="6"/>
  <c r="E193" i="6"/>
  <c r="S192" i="6"/>
  <c r="L192" i="6"/>
  <c r="S191" i="6"/>
  <c r="L191" i="6"/>
  <c r="S190" i="6"/>
  <c r="L190" i="6"/>
  <c r="S189" i="6"/>
  <c r="L189" i="6"/>
  <c r="S188" i="6"/>
  <c r="L188" i="6"/>
  <c r="S187" i="6"/>
  <c r="L187" i="6"/>
  <c r="S186" i="6"/>
  <c r="L186" i="6"/>
  <c r="E186" i="6"/>
  <c r="S185" i="6"/>
  <c r="L185" i="6"/>
  <c r="S184" i="6"/>
  <c r="L184" i="6"/>
  <c r="S183" i="6"/>
  <c r="L183" i="6"/>
  <c r="S182" i="6"/>
  <c r="L182" i="6"/>
  <c r="S181" i="6"/>
  <c r="L181" i="6"/>
  <c r="S180" i="6"/>
  <c r="L180" i="6"/>
  <c r="E180" i="6"/>
  <c r="S179" i="6"/>
  <c r="L179" i="6"/>
  <c r="S178" i="6"/>
  <c r="L178" i="6"/>
  <c r="S177" i="6"/>
  <c r="L177" i="6"/>
  <c r="S176" i="6"/>
  <c r="L176" i="6"/>
  <c r="S175" i="6"/>
  <c r="L175" i="6"/>
  <c r="S174" i="6"/>
  <c r="L174" i="6"/>
  <c r="S173" i="6"/>
  <c r="L173" i="6"/>
  <c r="S172" i="6"/>
  <c r="L172" i="6"/>
  <c r="S171" i="6"/>
  <c r="L171" i="6"/>
  <c r="E171" i="6"/>
  <c r="S170" i="6"/>
  <c r="L170" i="6"/>
  <c r="S169" i="6"/>
  <c r="L169" i="6"/>
  <c r="S168" i="6"/>
  <c r="L168" i="6"/>
  <c r="S167" i="6"/>
  <c r="L167" i="6"/>
  <c r="E167" i="6"/>
  <c r="S166" i="6"/>
  <c r="L166" i="6"/>
  <c r="S165" i="6"/>
  <c r="L165" i="6"/>
  <c r="S164" i="6"/>
  <c r="L164" i="6"/>
  <c r="S163" i="6"/>
  <c r="L163" i="6"/>
  <c r="S162" i="6"/>
  <c r="L162" i="6"/>
  <c r="E162" i="6"/>
  <c r="S161" i="6"/>
  <c r="L161" i="6"/>
  <c r="S160" i="6"/>
  <c r="L160" i="6"/>
  <c r="S159" i="6"/>
  <c r="L159" i="6"/>
  <c r="S158" i="6"/>
  <c r="L158" i="6"/>
  <c r="S157" i="6"/>
  <c r="L157" i="6"/>
  <c r="E157" i="6"/>
  <c r="S156" i="6"/>
  <c r="L156" i="6"/>
  <c r="E156" i="6"/>
  <c r="S155" i="6"/>
  <c r="L155" i="6"/>
  <c r="S154" i="6"/>
  <c r="L154" i="6"/>
  <c r="S153" i="6"/>
  <c r="L153" i="6"/>
  <c r="S152" i="6"/>
  <c r="L152" i="6"/>
  <c r="S151" i="6"/>
  <c r="L151" i="6"/>
  <c r="E151" i="6"/>
  <c r="S150" i="6"/>
  <c r="L150" i="6"/>
  <c r="S149" i="6"/>
  <c r="L149" i="6"/>
  <c r="S148" i="6"/>
  <c r="L148" i="6"/>
  <c r="S147" i="6"/>
  <c r="L147" i="6"/>
  <c r="E147" i="6"/>
  <c r="S146" i="6"/>
  <c r="L146" i="6"/>
  <c r="E146" i="6"/>
  <c r="S145" i="6"/>
  <c r="L145" i="6"/>
  <c r="S144" i="6"/>
  <c r="L144" i="6"/>
  <c r="S143" i="6"/>
  <c r="L143" i="6"/>
  <c r="E143" i="6"/>
  <c r="S142" i="6"/>
  <c r="L142" i="6"/>
  <c r="E142" i="6"/>
  <c r="S141" i="6"/>
  <c r="S219" i="6" s="1"/>
  <c r="L141" i="6"/>
  <c r="E141" i="6"/>
  <c r="R140" i="6"/>
  <c r="Q140" i="6"/>
  <c r="P140" i="6"/>
  <c r="O140" i="6"/>
  <c r="N140" i="6"/>
  <c r="M140" i="6"/>
  <c r="K140" i="6"/>
  <c r="J140" i="6"/>
  <c r="I140" i="6"/>
  <c r="H140" i="6"/>
  <c r="G140" i="6"/>
  <c r="F140" i="6"/>
  <c r="S139" i="6"/>
  <c r="L139" i="6"/>
  <c r="S138" i="6"/>
  <c r="L138" i="6"/>
  <c r="S137" i="6"/>
  <c r="L137" i="6"/>
  <c r="S136" i="6"/>
  <c r="L136" i="6"/>
  <c r="S135" i="6"/>
  <c r="L135" i="6"/>
  <c r="R134" i="6"/>
  <c r="Q134" i="6"/>
  <c r="P134" i="6"/>
  <c r="O134" i="6"/>
  <c r="O253" i="6" s="1"/>
  <c r="N134" i="6"/>
  <c r="M134" i="6"/>
  <c r="K134" i="6"/>
  <c r="J134" i="6"/>
  <c r="I134" i="6"/>
  <c r="H134" i="6"/>
  <c r="G134" i="6"/>
  <c r="F134" i="6"/>
  <c r="F253" i="6" s="1"/>
  <c r="S133" i="6"/>
  <c r="L133" i="6"/>
  <c r="S132" i="6"/>
  <c r="L132" i="6"/>
  <c r="S131" i="6"/>
  <c r="L131" i="6"/>
  <c r="S130" i="6"/>
  <c r="L130" i="6"/>
  <c r="S129" i="6"/>
  <c r="L129" i="6"/>
  <c r="S128" i="6"/>
  <c r="L128" i="6"/>
  <c r="S127" i="6"/>
  <c r="L127" i="6"/>
  <c r="S126" i="6"/>
  <c r="L126" i="6"/>
  <c r="S125" i="6"/>
  <c r="L125" i="6"/>
  <c r="E125" i="6"/>
  <c r="S124" i="6"/>
  <c r="L124" i="6"/>
  <c r="S123" i="6"/>
  <c r="L123" i="6"/>
  <c r="S122" i="6"/>
  <c r="L122" i="6"/>
  <c r="S121" i="6"/>
  <c r="L121" i="6"/>
  <c r="E121" i="6"/>
  <c r="S120" i="6"/>
  <c r="L120" i="6"/>
  <c r="S119" i="6"/>
  <c r="L119" i="6"/>
  <c r="S118" i="6"/>
  <c r="L118" i="6"/>
  <c r="S117" i="6"/>
  <c r="L117" i="6"/>
  <c r="S116" i="6"/>
  <c r="L116" i="6"/>
  <c r="S115" i="6"/>
  <c r="L115" i="6"/>
  <c r="S114" i="6"/>
  <c r="L114" i="6"/>
  <c r="S113" i="6"/>
  <c r="L113" i="6"/>
  <c r="S112" i="6"/>
  <c r="L112" i="6"/>
  <c r="S111" i="6"/>
  <c r="L111" i="6"/>
  <c r="S110" i="6"/>
  <c r="L110" i="6"/>
  <c r="S109" i="6"/>
  <c r="L109" i="6"/>
  <c r="S108" i="6"/>
  <c r="L108" i="6"/>
  <c r="S107" i="6"/>
  <c r="L107" i="6"/>
  <c r="S106" i="6"/>
  <c r="L106" i="6"/>
  <c r="S105" i="6"/>
  <c r="L105" i="6"/>
  <c r="E105" i="6"/>
  <c r="S104" i="6"/>
  <c r="L104" i="6"/>
  <c r="S103" i="6"/>
  <c r="L103" i="6"/>
  <c r="S102" i="6"/>
  <c r="L102" i="6"/>
  <c r="S101" i="6"/>
  <c r="L101" i="6"/>
  <c r="S100" i="6"/>
  <c r="L100" i="6"/>
  <c r="S99" i="6"/>
  <c r="L99" i="6"/>
  <c r="S98" i="6"/>
  <c r="L98" i="6"/>
  <c r="S97" i="6"/>
  <c r="L97" i="6"/>
  <c r="S96" i="6"/>
  <c r="L96" i="6"/>
  <c r="S95" i="6"/>
  <c r="L95" i="6"/>
  <c r="E95" i="6"/>
  <c r="S94" i="6"/>
  <c r="L94" i="6"/>
  <c r="S93" i="6"/>
  <c r="L93" i="6"/>
  <c r="S92" i="6"/>
  <c r="L92" i="6"/>
  <c r="E92" i="6"/>
  <c r="S91" i="6"/>
  <c r="L91" i="6"/>
  <c r="E91" i="6"/>
  <c r="S90" i="6"/>
  <c r="L90" i="6"/>
  <c r="S89" i="6"/>
  <c r="L89" i="6"/>
  <c r="S88" i="6"/>
  <c r="L88" i="6"/>
  <c r="R86" i="6"/>
  <c r="Q86" i="6"/>
  <c r="P86" i="6"/>
  <c r="O86" i="6"/>
  <c r="N86" i="6"/>
  <c r="M86" i="6"/>
  <c r="K86" i="6"/>
  <c r="J86" i="6"/>
  <c r="I86" i="6"/>
  <c r="H86" i="6"/>
  <c r="G86" i="6"/>
  <c r="F86" i="6"/>
  <c r="S85" i="6"/>
  <c r="L85" i="6"/>
  <c r="S84" i="6"/>
  <c r="L84" i="6"/>
  <c r="S83" i="6"/>
  <c r="L83" i="6"/>
  <c r="E83" i="6"/>
  <c r="S82" i="6"/>
  <c r="L82" i="6"/>
  <c r="S81" i="6"/>
  <c r="L81" i="6"/>
  <c r="S80" i="6"/>
  <c r="L80" i="6"/>
  <c r="S79" i="6"/>
  <c r="L79" i="6"/>
  <c r="S78" i="6"/>
  <c r="L78" i="6"/>
  <c r="E78" i="6"/>
  <c r="S77" i="6"/>
  <c r="L77" i="6"/>
  <c r="S76" i="6"/>
  <c r="L76" i="6"/>
  <c r="S75" i="6"/>
  <c r="L75" i="6"/>
  <c r="S74" i="6"/>
  <c r="L74" i="6"/>
  <c r="S73" i="6"/>
  <c r="L73" i="6"/>
  <c r="S72" i="6"/>
  <c r="L72" i="6"/>
  <c r="E72" i="6"/>
  <c r="S71" i="6"/>
  <c r="L71" i="6"/>
  <c r="S70" i="6"/>
  <c r="L70" i="6"/>
  <c r="S69" i="6"/>
  <c r="L69" i="6"/>
  <c r="E69" i="6"/>
  <c r="S68" i="6"/>
  <c r="L68" i="6"/>
  <c r="S67" i="6"/>
  <c r="L67" i="6"/>
  <c r="S66" i="6"/>
  <c r="L66" i="6"/>
  <c r="S65" i="6"/>
  <c r="L65" i="6"/>
  <c r="R64" i="6"/>
  <c r="Q64" i="6"/>
  <c r="P64" i="6"/>
  <c r="P87" i="6" s="1"/>
  <c r="O64" i="6"/>
  <c r="O87" i="6" s="1"/>
  <c r="N64" i="6"/>
  <c r="N87" i="6" s="1"/>
  <c r="M64" i="6"/>
  <c r="M87" i="6" s="1"/>
  <c r="K64" i="6"/>
  <c r="J64" i="6"/>
  <c r="I64" i="6"/>
  <c r="H64" i="6"/>
  <c r="G64" i="6"/>
  <c r="G87" i="6" s="1"/>
  <c r="F64" i="6"/>
  <c r="F87" i="6" s="1"/>
  <c r="S63" i="6"/>
  <c r="L63" i="6"/>
  <c r="S62" i="6"/>
  <c r="L62" i="6"/>
  <c r="R60" i="6"/>
  <c r="R61" i="6" s="1"/>
  <c r="Q60" i="6"/>
  <c r="Q61" i="6" s="1"/>
  <c r="P60" i="6"/>
  <c r="P61" i="6" s="1"/>
  <c r="O60" i="6"/>
  <c r="O61" i="6" s="1"/>
  <c r="N60" i="6"/>
  <c r="N61" i="6" s="1"/>
  <c r="M60" i="6"/>
  <c r="M61" i="6" s="1"/>
  <c r="K60" i="6"/>
  <c r="K61" i="6" s="1"/>
  <c r="J60" i="6"/>
  <c r="J61" i="6" s="1"/>
  <c r="I60" i="6"/>
  <c r="I61" i="6" s="1"/>
  <c r="H60" i="6"/>
  <c r="H61" i="6" s="1"/>
  <c r="G60" i="6"/>
  <c r="G61" i="6" s="1"/>
  <c r="F60" i="6"/>
  <c r="F61" i="6" s="1"/>
  <c r="S59" i="6"/>
  <c r="L59" i="6"/>
  <c r="S58" i="6"/>
  <c r="L58" i="6"/>
  <c r="S57" i="6"/>
  <c r="L57" i="6"/>
  <c r="S56" i="6"/>
  <c r="L56" i="6"/>
  <c r="S55" i="6"/>
  <c r="L55" i="6"/>
  <c r="S54" i="6"/>
  <c r="L54" i="6"/>
  <c r="R52" i="6"/>
  <c r="Q52" i="6"/>
  <c r="P52" i="6"/>
  <c r="O52" i="6"/>
  <c r="N52" i="6"/>
  <c r="M52" i="6"/>
  <c r="K52" i="6"/>
  <c r="J52" i="6"/>
  <c r="I52" i="6"/>
  <c r="H52" i="6"/>
  <c r="G52" i="6"/>
  <c r="F52" i="6"/>
  <c r="S51" i="6"/>
  <c r="L51" i="6"/>
  <c r="S50" i="6"/>
  <c r="L50" i="6"/>
  <c r="S49" i="6"/>
  <c r="L49" i="6"/>
  <c r="S48" i="6"/>
  <c r="L48" i="6"/>
  <c r="S47" i="6"/>
  <c r="L47" i="6"/>
  <c r="R46" i="6"/>
  <c r="Q46" i="6"/>
  <c r="P46" i="6"/>
  <c r="O46" i="6"/>
  <c r="N46" i="6"/>
  <c r="M46" i="6"/>
  <c r="K46" i="6"/>
  <c r="J46" i="6"/>
  <c r="I46" i="6"/>
  <c r="H46" i="6"/>
  <c r="G46" i="6"/>
  <c r="F46" i="6"/>
  <c r="S45" i="6"/>
  <c r="L45" i="6"/>
  <c r="S44" i="6"/>
  <c r="L44" i="6"/>
  <c r="L46" i="6" s="1"/>
  <c r="R43" i="6"/>
  <c r="Q43" i="6"/>
  <c r="P43" i="6"/>
  <c r="O43" i="6"/>
  <c r="N43" i="6"/>
  <c r="M43" i="6"/>
  <c r="K43" i="6"/>
  <c r="J43" i="6"/>
  <c r="I43" i="6"/>
  <c r="H43" i="6"/>
  <c r="G43" i="6"/>
  <c r="F43" i="6"/>
  <c r="S42" i="6"/>
  <c r="L42" i="6"/>
  <c r="S41" i="6"/>
  <c r="L41" i="6"/>
  <c r="S40" i="6"/>
  <c r="L40" i="6"/>
  <c r="S39" i="6"/>
  <c r="L39" i="6"/>
  <c r="S38" i="6"/>
  <c r="L38" i="6"/>
  <c r="S37" i="6"/>
  <c r="L37" i="6"/>
  <c r="S36" i="6"/>
  <c r="L36" i="6"/>
  <c r="S35" i="6"/>
  <c r="L35" i="6"/>
  <c r="S34" i="6"/>
  <c r="L34" i="6"/>
  <c r="S33" i="6"/>
  <c r="L33" i="6"/>
  <c r="S32" i="6"/>
  <c r="L32" i="6"/>
  <c r="S31" i="6"/>
  <c r="L31" i="6"/>
  <c r="S30" i="6"/>
  <c r="L30" i="6"/>
  <c r="S29" i="6"/>
  <c r="L29" i="6"/>
  <c r="S28" i="6"/>
  <c r="L28" i="6"/>
  <c r="S27" i="6"/>
  <c r="L27" i="6"/>
  <c r="S26" i="6"/>
  <c r="L26" i="6"/>
  <c r="S25" i="6"/>
  <c r="L25" i="6"/>
  <c r="S24" i="6"/>
  <c r="L24" i="6"/>
  <c r="S23" i="6"/>
  <c r="L23" i="6"/>
  <c r="S22" i="6"/>
  <c r="L22" i="6"/>
  <c r="S21" i="6"/>
  <c r="L21" i="6"/>
  <c r="S20" i="6"/>
  <c r="L20" i="6"/>
  <c r="S19" i="6"/>
  <c r="L19" i="6"/>
  <c r="S18" i="6"/>
  <c r="L18" i="6"/>
  <c r="S17" i="6"/>
  <c r="L17" i="6"/>
  <c r="S16" i="6"/>
  <c r="L16" i="6"/>
  <c r="S15" i="6"/>
  <c r="L15" i="6"/>
  <c r="S14" i="6"/>
  <c r="L14" i="6"/>
  <c r="R13" i="6"/>
  <c r="Q13" i="6"/>
  <c r="P13" i="6"/>
  <c r="O13" i="6"/>
  <c r="N13" i="6"/>
  <c r="M13" i="6"/>
  <c r="K13" i="6"/>
  <c r="J13" i="6"/>
  <c r="I13" i="6"/>
  <c r="H13" i="6"/>
  <c r="G13" i="6"/>
  <c r="F13" i="6"/>
  <c r="S12" i="6"/>
  <c r="L12" i="6"/>
  <c r="S11" i="6"/>
  <c r="L11" i="6"/>
  <c r="S10" i="6"/>
  <c r="L10" i="6"/>
  <c r="S9" i="6"/>
  <c r="L9" i="6"/>
  <c r="S8" i="6"/>
  <c r="S13" i="6" s="1"/>
  <c r="L8" i="6"/>
  <c r="R7" i="6"/>
  <c r="Q7" i="6"/>
  <c r="P7" i="6"/>
  <c r="O7" i="6"/>
  <c r="N7" i="6"/>
  <c r="M7" i="6"/>
  <c r="K7" i="6"/>
  <c r="J7" i="6"/>
  <c r="I7" i="6"/>
  <c r="H7" i="6"/>
  <c r="G7" i="6"/>
  <c r="F7" i="6"/>
  <c r="S6" i="6"/>
  <c r="L6" i="6"/>
  <c r="S5" i="6"/>
  <c r="L5" i="6"/>
  <c r="E5" i="6"/>
  <c r="S4" i="6"/>
  <c r="L4" i="6"/>
  <c r="E4" i="6"/>
  <c r="Q253" i="6" l="1"/>
  <c r="H253" i="6"/>
  <c r="I253" i="6"/>
  <c r="R253" i="6"/>
  <c r="J253" i="6"/>
  <c r="L43" i="6"/>
  <c r="L134" i="6"/>
  <c r="P53" i="6"/>
  <c r="S7" i="6"/>
  <c r="H87" i="6"/>
  <c r="Q87" i="6"/>
  <c r="I53" i="6"/>
  <c r="R53" i="6"/>
  <c r="S52" i="6"/>
  <c r="S60" i="6"/>
  <c r="S61" i="6" s="1"/>
  <c r="I87" i="6"/>
  <c r="I254" i="6" s="1"/>
  <c r="R87" i="6"/>
  <c r="L64" i="6"/>
  <c r="L87" i="6" s="1"/>
  <c r="L13" i="6"/>
  <c r="L252" i="6"/>
  <c r="K253" i="6"/>
  <c r="S252" i="6"/>
  <c r="M253" i="6"/>
  <c r="G253" i="6"/>
  <c r="P253" i="6"/>
  <c r="P254" i="6" s="1"/>
  <c r="L219" i="6"/>
  <c r="N253" i="6"/>
  <c r="L140" i="6"/>
  <c r="S140" i="6"/>
  <c r="S134" i="6"/>
  <c r="J87" i="6"/>
  <c r="K87" i="6"/>
  <c r="L86" i="6"/>
  <c r="S86" i="6"/>
  <c r="S87" i="6" s="1"/>
  <c r="S64" i="6"/>
  <c r="L60" i="6"/>
  <c r="L61" i="6" s="1"/>
  <c r="L52" i="6"/>
  <c r="K53" i="6"/>
  <c r="Q53" i="6"/>
  <c r="Q254" i="6" s="1"/>
  <c r="S46" i="6"/>
  <c r="H53" i="6"/>
  <c r="H254" i="6" s="1"/>
  <c r="S43" i="6"/>
  <c r="J53" i="6"/>
  <c r="L7" i="6"/>
  <c r="M53" i="6"/>
  <c r="N53" i="6"/>
  <c r="F53" i="6"/>
  <c r="F254" i="6" s="1"/>
  <c r="O53" i="6"/>
  <c r="O254" i="6" s="1"/>
  <c r="G53" i="6"/>
  <c r="R254" i="6"/>
  <c r="S53" i="6"/>
  <c r="L53" i="6"/>
  <c r="M254" i="6" l="1"/>
  <c r="S253" i="6"/>
  <c r="S254" i="6" s="1"/>
  <c r="L253" i="6"/>
  <c r="G254" i="6"/>
  <c r="K254" i="6"/>
  <c r="J254" i="6"/>
  <c r="N254" i="6"/>
  <c r="L254" i="6"/>
  <c r="E234" i="6" l="1"/>
  <c r="E228" i="6"/>
  <c r="E200" i="6"/>
  <c r="E198" i="6"/>
  <c r="E169" i="6"/>
  <c r="E166" i="6"/>
  <c r="E120" i="6" l="1"/>
  <c r="E75" i="6"/>
  <c r="E70" i="6"/>
  <c r="E93" i="6" l="1"/>
  <c r="E145" i="6"/>
  <c r="E178" i="6"/>
  <c r="E11" i="6"/>
  <c r="E85" i="6"/>
  <c r="E9" i="6"/>
  <c r="E19" i="6"/>
  <c r="E27" i="6"/>
  <c r="E15" i="6"/>
  <c r="E32" i="6"/>
  <c r="E71" i="6"/>
  <c r="E82" i="6"/>
  <c r="E89" i="6"/>
  <c r="E101" i="6"/>
  <c r="E112" i="6"/>
  <c r="E123" i="6"/>
  <c r="E99" i="6"/>
  <c r="E126" i="6"/>
  <c r="E144" i="6"/>
  <c r="E163" i="6"/>
  <c r="E187" i="6"/>
  <c r="E195" i="6"/>
  <c r="E158" i="6"/>
  <c r="E177" i="6"/>
  <c r="E227" i="6"/>
  <c r="E220" i="6"/>
  <c r="E127" i="6"/>
  <c r="E103" i="6"/>
  <c r="E129" i="6"/>
  <c r="E148" i="6"/>
  <c r="E172" i="6"/>
  <c r="E188" i="6"/>
  <c r="E199" i="6"/>
  <c r="E160" i="6"/>
  <c r="E179" i="6"/>
  <c r="E224" i="6"/>
  <c r="E84" i="6"/>
  <c r="E100" i="6"/>
  <c r="E222" i="6"/>
  <c r="E116" i="6"/>
  <c r="E12" i="6"/>
  <c r="E23" i="6"/>
  <c r="E29" i="6"/>
  <c r="E18" i="6"/>
  <c r="E48" i="6"/>
  <c r="E76" i="6"/>
  <c r="E107" i="6"/>
  <c r="E117" i="6"/>
  <c r="E130" i="6"/>
  <c r="E106" i="6"/>
  <c r="E131" i="6"/>
  <c r="E173" i="6"/>
  <c r="E189" i="6"/>
  <c r="E150" i="6"/>
  <c r="E164" i="6"/>
  <c r="E182" i="6"/>
  <c r="E229" i="6"/>
  <c r="E73" i="6"/>
  <c r="E128" i="6"/>
  <c r="E22" i="6"/>
  <c r="E96" i="6"/>
  <c r="E30" i="6"/>
  <c r="E77" i="6"/>
  <c r="E68" i="6"/>
  <c r="E108" i="6"/>
  <c r="E90" i="6"/>
  <c r="E135" i="6"/>
  <c r="E149" i="6"/>
  <c r="E174" i="6"/>
  <c r="E190" i="6"/>
  <c r="E152" i="6"/>
  <c r="E168" i="6"/>
  <c r="E183" i="6"/>
  <c r="E230" i="6"/>
  <c r="E232" i="6"/>
  <c r="E28" i="6"/>
  <c r="E102" i="6"/>
  <c r="E17" i="6"/>
  <c r="E104" i="6"/>
  <c r="E24" i="6"/>
  <c r="E31" i="6"/>
  <c r="E20" i="6"/>
  <c r="E65" i="6"/>
  <c r="E79" i="6"/>
  <c r="E109" i="6"/>
  <c r="E118" i="6"/>
  <c r="E94" i="6"/>
  <c r="E114" i="6"/>
  <c r="E136" i="6"/>
  <c r="E153" i="6"/>
  <c r="E175" i="6"/>
  <c r="E191" i="6"/>
  <c r="E154" i="6"/>
  <c r="E184" i="6"/>
  <c r="E21" i="6"/>
  <c r="E113" i="6"/>
  <c r="E165" i="6"/>
  <c r="E159" i="6"/>
  <c r="E74" i="6"/>
  <c r="E25" i="6"/>
  <c r="E49" i="6"/>
  <c r="E66" i="6"/>
  <c r="E80" i="6"/>
  <c r="E110" i="6"/>
  <c r="E119" i="6"/>
  <c r="E115" i="6"/>
  <c r="E138" i="6"/>
  <c r="E181" i="6"/>
  <c r="E192" i="6"/>
  <c r="E155" i="6"/>
  <c r="E170" i="6"/>
  <c r="E235" i="6"/>
  <c r="E236" i="6"/>
  <c r="E10" i="6"/>
  <c r="E44" i="6"/>
  <c r="E124" i="6"/>
  <c r="E197" i="6"/>
  <c r="E47" i="6"/>
  <c r="E8" i="6"/>
  <c r="E16" i="6"/>
  <c r="E26" i="6"/>
  <c r="E14" i="6"/>
  <c r="E67" i="6"/>
  <c r="E81" i="6"/>
  <c r="E88" i="6"/>
  <c r="E98" i="6"/>
  <c r="E111" i="6"/>
  <c r="E122" i="6"/>
  <c r="E97" i="6"/>
  <c r="E137" i="6"/>
  <c r="E161" i="6"/>
  <c r="E185" i="6"/>
  <c r="E194" i="6"/>
  <c r="E176" i="6"/>
  <c r="E2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Mattika Matuampanwong</author>
  </authors>
  <commentList>
    <comment ref="K37" authorId="0" shapeId="0" xr:uid="{A80F606D-C189-457C-A959-3A0AA6695901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DVT sample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Lalida Yingsoong</author>
  </authors>
  <commentList>
    <comment ref="W5" authorId="0" shapeId="0" xr:uid="{4C317498-26B2-4C51-8CB4-E2C369C6790D}">
      <text>
        <r>
          <rPr>
            <sz val="9"/>
            <color indexed="81"/>
            <rFont val="Tahoma"/>
            <family val="2"/>
          </rPr>
          <t xml:space="preserve">THF Target Yield 
refer = </t>
        </r>
        <r>
          <rPr>
            <b/>
            <sz val="9"/>
            <color indexed="81"/>
            <rFont val="Tahoma"/>
            <family val="2"/>
          </rPr>
          <t xml:space="preserve">50%
Murayama Dec Target </t>
        </r>
      </text>
    </comment>
    <comment ref="D10" authorId="0" shapeId="0" xr:uid="{3287E5CF-3FA4-487B-B6BF-884E4880ACE0}">
      <text>
        <r>
          <rPr>
            <sz val="9"/>
            <color indexed="81"/>
            <rFont val="Tahoma"/>
            <family val="2"/>
          </rPr>
          <t xml:space="preserve">
Jul.23</t>
        </r>
      </text>
    </comment>
    <comment ref="B13" authorId="0" shapeId="0" xr:uid="{F4EB4CA1-9C4F-4D1A-BE75-4256F6D3D921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 21</t>
        </r>
      </text>
    </comment>
    <comment ref="C13" authorId="0" shapeId="0" xr:uid="{1D239AE7-7410-4EEB-983F-B7F2C404FD2C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Jul.22</t>
        </r>
      </text>
    </comment>
    <comment ref="D13" authorId="0" shapeId="0" xr:uid="{9DC0F05C-5BB2-426D-8A92-EA2389615DFA}">
      <text>
        <r>
          <rPr>
            <sz val="9"/>
            <color indexed="81"/>
            <rFont val="Tahoma"/>
            <family val="2"/>
          </rPr>
          <t xml:space="preserve">
Aug.23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Lalida Yingsoong</author>
  </authors>
  <commentList>
    <comment ref="W5" authorId="0" shapeId="0" xr:uid="{54F62275-A096-432C-A6A7-1DA269173542}">
      <text>
        <r>
          <rPr>
            <sz val="9"/>
            <color indexed="81"/>
            <rFont val="Tahoma"/>
            <family val="2"/>
          </rPr>
          <t xml:space="preserve">THF Target Yield 
refer = </t>
        </r>
        <r>
          <rPr>
            <b/>
            <sz val="9"/>
            <color indexed="81"/>
            <rFont val="Tahoma"/>
            <family val="2"/>
          </rPr>
          <t xml:space="preserve">50%
Murayama Dec Target </t>
        </r>
      </text>
    </comment>
    <comment ref="D10" authorId="0" shapeId="0" xr:uid="{57B25CDA-0539-4505-BF06-745E492289C8}">
      <text>
        <r>
          <rPr>
            <sz val="9"/>
            <color indexed="81"/>
            <rFont val="Tahoma"/>
            <family val="2"/>
          </rPr>
          <t xml:space="preserve">
Jul.23</t>
        </r>
      </text>
    </comment>
    <comment ref="B13" authorId="0" shapeId="0" xr:uid="{B6FC78A8-B330-4E20-A5A4-1D14A525F955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 21</t>
        </r>
      </text>
    </comment>
    <comment ref="C13" authorId="0" shapeId="0" xr:uid="{A015D5AA-656E-4C36-AEAB-ACAD1F8AB1E5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Jul.22</t>
        </r>
      </text>
    </comment>
    <comment ref="D13" authorId="0" shapeId="0" xr:uid="{DE4512D8-91DA-451C-8DBD-BAA72BB3F482}">
      <text>
        <r>
          <rPr>
            <sz val="9"/>
            <color indexed="81"/>
            <rFont val="Tahoma"/>
            <family val="2"/>
          </rPr>
          <t xml:space="preserve">
Aug.23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Mattika Matuampanwong</author>
    <author>Lalida Yingsoong</author>
  </authors>
  <commentList>
    <comment ref="D5" authorId="0" shapeId="0" xr:uid="{405D1FBB-0E60-4BC4-B12B-17C5129E774F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E/Oct
62.72 (E/Nov)
No plan E/Dec</t>
        </r>
      </text>
    </comment>
    <comment ref="H6" authorId="0" shapeId="0" xr:uid="{6E13E611-E1BA-434D-A6AE-5C4156D9707B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D8" authorId="0" shapeId="0" xr:uid="{9F55D948-A3ED-451F-A641-E496BB86DEAB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E/Nov
No plan E/Dec</t>
        </r>
      </text>
    </comment>
    <comment ref="B13" authorId="1" shapeId="0" xr:uid="{3726F806-6589-4F3B-B257-CF5145EBB9B7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 21</t>
        </r>
      </text>
    </comment>
    <comment ref="C13" authorId="1" shapeId="0" xr:uid="{04EE5B60-F6A1-4C7A-AF44-979C83819CED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Jul.22</t>
        </r>
      </text>
    </comment>
    <comment ref="E13" authorId="0" shapeId="0" xr:uid="{3EBBF9DB-E225-4CAE-90CC-42D00F1618FD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E/Aug
No plan Sep'24</t>
        </r>
      </text>
    </comment>
    <comment ref="H14" authorId="0" shapeId="0" xr:uid="{A7728CD8-28BC-40E5-B611-E529D4EB9CF3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H21" authorId="0" shapeId="0" xr:uid="{275F9569-B0EE-4FC7-9885-A635440C42D4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H29" authorId="0" shapeId="0" xr:uid="{C3EAEFD6-A33F-4598-A66D-10E6A6541B9E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H36" authorId="0" shapeId="0" xr:uid="{88E1922F-456A-40A2-9D8F-8472EDC782D3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H44" authorId="0" shapeId="0" xr:uid="{59C91FFF-4AEF-49D7-93A9-6FABE406C26F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Mattika Matuampanwong</author>
    <author>Lalida Yingsoong</author>
  </authors>
  <commentList>
    <comment ref="D5" authorId="0" shapeId="0" xr:uid="{4847BA32-D719-486F-B462-67917F500211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E/Oct
62.72 (E/Nov)
No plan E/Dec</t>
        </r>
      </text>
    </comment>
    <comment ref="J6" authorId="0" shapeId="0" xr:uid="{5D6B204A-CFFF-4D12-92DD-F4CF43D7DC27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D8" authorId="0" shapeId="0" xr:uid="{77037849-E7CD-45B1-8D90-AE946822B2FB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E/Nov
No plan E/Dec</t>
        </r>
      </text>
    </comment>
    <comment ref="B13" authorId="1" shapeId="0" xr:uid="{F7B009C0-322D-4C53-9466-052736E9F3A2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 21</t>
        </r>
      </text>
    </comment>
    <comment ref="C13" authorId="1" shapeId="0" xr:uid="{2AD1832B-6C9E-49D7-A045-2C01CCA39736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Jul.22</t>
        </r>
      </text>
    </comment>
    <comment ref="E13" authorId="0" shapeId="0" xr:uid="{74898C1E-2BB2-4587-B2D1-503E88E5B1F2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E/Aug
No plan Sep'24</t>
        </r>
      </text>
    </comment>
    <comment ref="J14" authorId="0" shapeId="0" xr:uid="{52297E9D-3C7A-49F3-BAC4-DCDBDC5DE3CC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J21" authorId="0" shapeId="0" xr:uid="{83D6D98C-0C91-4B15-ACE9-B94CD3FA3AB9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J29" authorId="0" shapeId="0" xr:uid="{B62BE573-A7EB-4CDD-B25D-F2C4AAC0EC79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J36" authorId="0" shapeId="0" xr:uid="{7A878A57-63AD-4303-BB60-6C6DE0A51157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J44" authorId="0" shapeId="0" xr:uid="{78A3B750-C413-42ED-A0BC-B356A57A59A2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J49" authorId="0" shapeId="0" xr:uid="{6204D9D4-556B-45BB-96A8-823E38884E9A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Reference</t>
        </r>
      </text>
    </comment>
  </commentList>
</comments>
</file>

<file path=xl/sharedStrings.xml><?xml version="1.0" encoding="utf-8"?>
<sst xmlns="http://schemas.openxmlformats.org/spreadsheetml/2006/main" count="2107" uniqueCount="335">
  <si>
    <t>STD</t>
  </si>
  <si>
    <t>Ta Capacitor Yield Target for CY2023</t>
  </si>
  <si>
    <t>Under adjust : Lalida Y.</t>
  </si>
  <si>
    <r>
      <t>Revise :</t>
    </r>
    <r>
      <rPr>
        <i/>
        <sz val="14"/>
        <color rgb="FFFF0000"/>
        <rFont val="Calibri"/>
        <family val="2"/>
        <scheme val="minor"/>
      </rPr>
      <t xml:space="preserve"> 26-Sep-22</t>
    </r>
  </si>
  <si>
    <r>
      <t>Revise :</t>
    </r>
    <r>
      <rPr>
        <i/>
        <sz val="14"/>
        <color rgb="FFFF0000"/>
        <rFont val="Calibri"/>
        <family val="2"/>
        <scheme val="minor"/>
      </rPr>
      <t xml:space="preserve"> 4-Oct-22</t>
    </r>
  </si>
  <si>
    <t>Result</t>
  </si>
  <si>
    <t>CY22</t>
  </si>
  <si>
    <t>CY23</t>
  </si>
  <si>
    <t>Refer : ABB production Plan Rev.1</t>
  </si>
  <si>
    <t>21.Sep.22</t>
  </si>
  <si>
    <t>Dec</t>
  </si>
  <si>
    <t>Oracle</t>
  </si>
  <si>
    <t>CY2023</t>
  </si>
  <si>
    <t>Case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</si>
  <si>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</si>
  <si>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</si>
  <si>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</si>
  <si>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</si>
  <si>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</si>
  <si>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</si>
  <si>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</si>
  <si>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</si>
  <si>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</si>
  <si>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</si>
  <si>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</si>
  <si>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ABB</t>
  </si>
  <si>
    <t>FPS-A08</t>
  </si>
  <si>
    <t>FPS-A2</t>
  </si>
  <si>
    <t>FPS-A3</t>
  </si>
  <si>
    <t>FPS-B10</t>
  </si>
  <si>
    <t>FPS-B3</t>
  </si>
  <si>
    <t>GPS-P2</t>
  </si>
  <si>
    <t>PSG-B2</t>
  </si>
  <si>
    <t>PSL-A</t>
  </si>
  <si>
    <t>25mohms</t>
  </si>
  <si>
    <t>PSL-B15</t>
  </si>
  <si>
    <t>low input</t>
  </si>
  <si>
    <t>PSL-B2</t>
  </si>
  <si>
    <t>PSL-B3</t>
  </si>
  <si>
    <t>Total</t>
  </si>
  <si>
    <t>FPS-A3
(Air tag)</t>
  </si>
  <si>
    <t>CY2022</t>
  </si>
  <si>
    <t xml:space="preserve">Engineer </t>
  </si>
  <si>
    <t>Engineer</t>
  </si>
  <si>
    <t>Actual (Update 18-Sep)</t>
  </si>
  <si>
    <t xml:space="preserve">Actual </t>
  </si>
  <si>
    <t>Ta Capacitor Yield Target for CY2024</t>
  </si>
  <si>
    <r>
      <t>Start :</t>
    </r>
    <r>
      <rPr>
        <i/>
        <sz val="14"/>
        <color rgb="FFFF0000"/>
        <rFont val="Calibri"/>
        <family val="2"/>
        <scheme val="minor"/>
      </rPr>
      <t xml:space="preserve"> 21-Sep-23</t>
    </r>
  </si>
  <si>
    <t>Revise :</t>
  </si>
  <si>
    <t>CY21</t>
  </si>
  <si>
    <t xml:space="preserve">CY24 Production Plan : Ta Map </t>
  </si>
  <si>
    <t>Refer : Ta Map ABB CY24 [ 15-Sep-23 ]</t>
  </si>
  <si>
    <t>CY2024</t>
  </si>
  <si>
    <t>**Not include Pass Ratio</t>
  </si>
  <si>
    <t>**Not include effect B20J337/0J227SK</t>
  </si>
  <si>
    <t>target</t>
  </si>
  <si>
    <t>CY24 budget rate has been defined as follows. </t>
  </si>
  <si>
    <t>    1 USD : 32. 78 THB</t>
  </si>
  <si>
    <t>    1 EUR : 1.13 USD</t>
  </si>
  <si>
    <t>    1 USD : 130.50 JPY</t>
  </si>
  <si>
    <t>Revise2 :</t>
  </si>
  <si>
    <t>Revise1 :</t>
  </si>
  <si>
    <t>revise</t>
  </si>
  <si>
    <t>Revise.3</t>
  </si>
  <si>
    <t>(Kp/M)</t>
  </si>
  <si>
    <t>Siries</t>
  </si>
  <si>
    <t>P/N</t>
  </si>
  <si>
    <t>Jan</t>
    <phoneticPr fontId="2"/>
  </si>
  <si>
    <t>Feb</t>
    <phoneticPr fontId="2"/>
  </si>
  <si>
    <t>Mar</t>
    <phoneticPr fontId="2"/>
  </si>
  <si>
    <t>Apr</t>
    <phoneticPr fontId="2"/>
  </si>
  <si>
    <t>May</t>
    <phoneticPr fontId="2"/>
  </si>
  <si>
    <t>Jun</t>
    <phoneticPr fontId="2"/>
  </si>
  <si>
    <t>CY24/1H</t>
    <phoneticPr fontId="2"/>
  </si>
  <si>
    <t>Jul</t>
    <phoneticPr fontId="2"/>
  </si>
  <si>
    <t>Aug</t>
    <phoneticPr fontId="2"/>
  </si>
  <si>
    <t>Sep</t>
    <phoneticPr fontId="2"/>
  </si>
  <si>
    <t>Oct</t>
    <phoneticPr fontId="2"/>
  </si>
  <si>
    <t>Nov</t>
    <phoneticPr fontId="2"/>
  </si>
  <si>
    <t>Dec</t>
    <phoneticPr fontId="2"/>
  </si>
  <si>
    <t>CY24/2H</t>
    <phoneticPr fontId="2"/>
  </si>
  <si>
    <t>CY24/1H</t>
  </si>
  <si>
    <t>CY24/2H</t>
  </si>
  <si>
    <t>FPS</t>
  </si>
  <si>
    <t>A08</t>
    <phoneticPr fontId="2"/>
  </si>
  <si>
    <t>TEFPSA081C226M2008RKT</t>
  </si>
  <si>
    <t>A08</t>
  </si>
  <si>
    <t>TEFPSA081C226MTHF8R</t>
  </si>
  <si>
    <t>Sub total</t>
  </si>
  <si>
    <t>A2</t>
  </si>
  <si>
    <t>TEFPSA21C336M8RKT</t>
  </si>
  <si>
    <t>TEFPSA21E106M1508RKT</t>
  </si>
  <si>
    <t>TEFPSA21L566MHF8R</t>
  </si>
  <si>
    <t>TEFPSA21L566MPHF8R</t>
  </si>
  <si>
    <t>TEFPSA21N396MHF8R</t>
  </si>
  <si>
    <t>A3</t>
  </si>
  <si>
    <t>TEFPSA30J107M1008R</t>
  </si>
  <si>
    <t>TEFPSA30J107M1008RSY</t>
  </si>
  <si>
    <t>TEFPSA30J107M55PHF8R</t>
  </si>
  <si>
    <t>TEFPSA30J107M55RHF8R</t>
  </si>
  <si>
    <t>TEFPSA30J107M708R</t>
  </si>
  <si>
    <t>TEFPSA30J107M708RKT</t>
  </si>
  <si>
    <t>TEFPSA30J107M708RSY</t>
  </si>
  <si>
    <t>TEFPSA30J107M70E8RLG</t>
  </si>
  <si>
    <t>TEFPSA30J107M8RKT</t>
  </si>
  <si>
    <t>TEFPSA30J476M150HF8R</t>
  </si>
  <si>
    <t>TEFPSA30J476M8RKT</t>
  </si>
  <si>
    <t>TEFPSA30J476M8RSY</t>
  </si>
  <si>
    <t>TEFPSA31A226M8RKT</t>
  </si>
  <si>
    <t>TEFPSA31A336M8R</t>
  </si>
  <si>
    <t>TEFPSA31A336M8RKT</t>
  </si>
  <si>
    <t>TEFPSA31A336MHF8R</t>
  </si>
  <si>
    <t>TEFPSA31A476M100HF8R</t>
  </si>
  <si>
    <t>TEFPSA31A476M100PHF8R</t>
  </si>
  <si>
    <t>TEFPSA31A476M8RKT</t>
  </si>
  <si>
    <t>B10</t>
    <phoneticPr fontId="2"/>
  </si>
  <si>
    <t>TEFPSB101D156M150QHF8R</t>
  </si>
  <si>
    <t>B10</t>
  </si>
  <si>
    <t>B3</t>
  </si>
  <si>
    <t>TEFPSB31E156M8R</t>
  </si>
  <si>
    <t>TEFPSB31E156M8RLD</t>
  </si>
  <si>
    <t>TEFPSB31V685MHF8R</t>
  </si>
  <si>
    <t>FPS All</t>
  </si>
  <si>
    <t>FPU</t>
  </si>
  <si>
    <t>FPUA20J336M100BKT</t>
  </si>
  <si>
    <t>FPUA20J336M200BKT</t>
  </si>
  <si>
    <t>FPUA20J336M200BKT2</t>
  </si>
  <si>
    <t>FPUA20J476M100BKT</t>
  </si>
  <si>
    <t>FPUA20J476M200BKT</t>
  </si>
  <si>
    <t>FPUA20J476M200BKT2</t>
  </si>
  <si>
    <t>GPS</t>
  </si>
  <si>
    <t>0.65T</t>
    <phoneticPr fontId="2"/>
  </si>
  <si>
    <t>0.65T</t>
  </si>
  <si>
    <t>P2</t>
  </si>
  <si>
    <t>TEGPSP20J106M2008RKT</t>
  </si>
  <si>
    <t>TEGPSP20J106M8R</t>
  </si>
  <si>
    <t>TEGPSP20J106M8RF</t>
  </si>
  <si>
    <t>TEGPSP20J226M1508R</t>
  </si>
  <si>
    <t>TEGPSP20J226M1508RKT</t>
  </si>
  <si>
    <t>TEGPSP20J226M8RKT</t>
  </si>
  <si>
    <t>TEGPSP20J476M1508RKT</t>
  </si>
  <si>
    <t>TEGPSP20J476M1508RKT3</t>
  </si>
  <si>
    <t>TEGPSP20J476M150AHF8R</t>
  </si>
  <si>
    <t>TEGPSP20J476M2008RKT</t>
  </si>
  <si>
    <t>TEGPSP20J476M8R</t>
  </si>
  <si>
    <t>TEGPSP21A106M2008RKT</t>
  </si>
  <si>
    <t>TEGPSP21A106M8R</t>
  </si>
  <si>
    <t>TEGPSP21A226M1508R</t>
  </si>
  <si>
    <t>TEGPSP21A226M1508RKT</t>
  </si>
  <si>
    <t>TEGPSP21A226M8R</t>
  </si>
  <si>
    <t>TEGPSP21A226M8RKT</t>
  </si>
  <si>
    <t>TEGPSP21C106M1508RKT</t>
  </si>
  <si>
    <t>TEGPSP21C106M8R</t>
  </si>
  <si>
    <t>TEGPSP21E475M3008RKT</t>
  </si>
  <si>
    <t>TEGPSP21E475M8R</t>
  </si>
  <si>
    <t>PSL</t>
  </si>
  <si>
    <t>A</t>
  </si>
  <si>
    <t>TEPSLA0E227M258RKT</t>
  </si>
  <si>
    <t>TEPSLA0E227M358RKT</t>
  </si>
  <si>
    <t>TEPSLA0E227M458RSY</t>
  </si>
  <si>
    <t>TEPSLA0E227M708RF</t>
  </si>
  <si>
    <t>TEPSLA0E476M908RKT</t>
  </si>
  <si>
    <t>TEPSLA0E686M708RKT</t>
  </si>
  <si>
    <t>TEPSLA0G107M2008RKT</t>
  </si>
  <si>
    <t>TEPSLA0G336M708RKT</t>
  </si>
  <si>
    <t>TEPSLA0G476M708RKT</t>
  </si>
  <si>
    <t>TEPSLA0J107M258R</t>
  </si>
  <si>
    <t>TEPSLA0J107M258RKT</t>
  </si>
  <si>
    <t>TEPSLA0J107M358R</t>
  </si>
  <si>
    <t>TEPSLA0J107M358RF</t>
  </si>
  <si>
    <t>TEPSLA0J107M358RKT</t>
  </si>
  <si>
    <t>TEPSLA0J107M35E8RLG</t>
  </si>
  <si>
    <t>TEPSLA0J107M458R</t>
  </si>
  <si>
    <t>TEPSLA0J107M458RKT</t>
  </si>
  <si>
    <t>TEPSLA0J107M707V8R</t>
  </si>
  <si>
    <t>TEPSLA0J107M708R</t>
  </si>
  <si>
    <t>TEPSLA0J107M8RKT</t>
  </si>
  <si>
    <t>TEPSLA0J226M1008RKT</t>
  </si>
  <si>
    <t>TEPSLA0J226M8R</t>
  </si>
  <si>
    <t>TEPSLA0J226M8RF</t>
  </si>
  <si>
    <t>TEPSLA0J226M908RKT</t>
  </si>
  <si>
    <t>TEPSLA0J336M708RKT</t>
  </si>
  <si>
    <t>TEPSLA0J336M808RKT</t>
  </si>
  <si>
    <t>TEPSLA0J476M708R</t>
  </si>
  <si>
    <t>TEPSLA0J476M708RF</t>
  </si>
  <si>
    <t>TEPSLA0J476M8R</t>
  </si>
  <si>
    <t>TEPSLA0J476M8RKT</t>
  </si>
  <si>
    <t>TEPSLA0J686M1508RKT</t>
  </si>
  <si>
    <t>TEPSLA1A106M808RKT</t>
  </si>
  <si>
    <t>TEPSLA1A106M8R</t>
  </si>
  <si>
    <t>TEPSLA1A106M8RF</t>
  </si>
  <si>
    <t>TEPSLA1A156M808RKT</t>
  </si>
  <si>
    <t>TEPSLA1A226M808RKT</t>
  </si>
  <si>
    <t>TEPSLA1A226M8R</t>
  </si>
  <si>
    <t>TEPSLA1A336M8R</t>
  </si>
  <si>
    <t>TEPSLA1A475M3008RKT2</t>
  </si>
  <si>
    <t>TEPSLA1A475M8R</t>
  </si>
  <si>
    <t>TEPSLA1A475M8RF</t>
  </si>
  <si>
    <t>TEPSLA1A476M458R</t>
  </si>
  <si>
    <t>TEPSLA1A476M45E8RLG</t>
  </si>
  <si>
    <t>TEPSLA1C335M8R</t>
  </si>
  <si>
    <t>PSL/G/H</t>
  </si>
  <si>
    <t>B15</t>
  </si>
  <si>
    <t>TEPSLB150J157M358R</t>
  </si>
  <si>
    <t>TEPSLB150J157M708R</t>
  </si>
  <si>
    <t>TEPSLB151E106M8R</t>
  </si>
  <si>
    <t>TEPSLB151E106M8RLG</t>
  </si>
  <si>
    <t>PSH</t>
    <phoneticPr fontId="2"/>
  </si>
  <si>
    <t>B2</t>
  </si>
  <si>
    <t>PSHB20E337M025B</t>
  </si>
  <si>
    <t>PSH</t>
  </si>
  <si>
    <t>PSHB21E156M090B</t>
  </si>
  <si>
    <t>PSU</t>
    <phoneticPr fontId="2"/>
  </si>
  <si>
    <t>PSUB20E337M025BF</t>
  </si>
  <si>
    <t>PSU</t>
  </si>
  <si>
    <t>PSG</t>
  </si>
  <si>
    <t>TEPSGB20E337M9-8R</t>
  </si>
  <si>
    <t>TEPSGB20E337M9-8RF</t>
  </si>
  <si>
    <t>TEPSGB20E337M98RKT</t>
  </si>
  <si>
    <t>TEPSGB20E337M98RKT2</t>
  </si>
  <si>
    <t>TEPSGB20E337M9-8RLG</t>
  </si>
  <si>
    <t>TEPSGB20E337M9HF8R</t>
  </si>
  <si>
    <t>TEPSLB20E227M158R</t>
  </si>
  <si>
    <t>TEPSLB20E227M158RKT2</t>
  </si>
  <si>
    <t>TEPSLB20E227M358R</t>
  </si>
  <si>
    <t>TEPSLB20E337M13HF8R</t>
  </si>
  <si>
    <t>TEPSLB20E337M158R</t>
  </si>
  <si>
    <t>TEPSLB20E337M158RF</t>
  </si>
  <si>
    <t>TEPSLB20E337M218R</t>
  </si>
  <si>
    <t>TEPSLB20E477M148R</t>
  </si>
  <si>
    <t>TEPSLB20J107M358R</t>
  </si>
  <si>
    <t>TEPSLB20J107M358RF</t>
  </si>
  <si>
    <t>TEPSLB20J107M458R</t>
  </si>
  <si>
    <t>TEPSLB20J107M8RF</t>
  </si>
  <si>
    <t>TEPSLB20J157M188RKT3</t>
  </si>
  <si>
    <t>TEPSLB20J157M18HF8R</t>
  </si>
  <si>
    <t>TEPSLB20J157M258RF</t>
  </si>
  <si>
    <t>TEPSLB20J157M25HF8R</t>
  </si>
  <si>
    <t>TEPSLB20J157M358R</t>
  </si>
  <si>
    <t>TEPSLB20J157M358RKT2</t>
  </si>
  <si>
    <t>TEPSLB20J157M458R</t>
  </si>
  <si>
    <t>TEPSLB20J227M258R</t>
  </si>
  <si>
    <t>TEPSLB20J227M258RF</t>
  </si>
  <si>
    <t>TEPSLB20J227M258RKT2</t>
  </si>
  <si>
    <t>TEPSLB20J227M25CS8R</t>
  </si>
  <si>
    <t>TEPSLB20J227M25HF8R</t>
  </si>
  <si>
    <t>TEPSLB20J227M25LQ8R</t>
  </si>
  <si>
    <t>TEPSLB20J227M25SK8R</t>
  </si>
  <si>
    <t>TEPSLB20J227M358R</t>
  </si>
  <si>
    <t>TEPSLB20J227M458R</t>
  </si>
  <si>
    <t>TEPSLB20J337M458R</t>
  </si>
  <si>
    <t>TEPSLB20J337M458RFL</t>
  </si>
  <si>
    <t>TEPSLB20J337M458RKT3</t>
  </si>
  <si>
    <t>TEPSLB20J337M45HF8R</t>
  </si>
  <si>
    <t>TEPSLB21A107M458R</t>
  </si>
  <si>
    <t>TEPSLB21A107M458RFL</t>
  </si>
  <si>
    <t>TEPSLB21A226M8RF</t>
  </si>
  <si>
    <t>TEPSLB21A336M8R</t>
  </si>
  <si>
    <t>TEPSLB21A476M358R</t>
  </si>
  <si>
    <t>TEPSLB21A476M8R</t>
  </si>
  <si>
    <t>TEPSLB21A476M8RSY</t>
  </si>
  <si>
    <t>TEPSLB21C106M8R</t>
  </si>
  <si>
    <t>TEPSLB21C106M8RF</t>
  </si>
  <si>
    <t>TEPSLB21C336M8R</t>
  </si>
  <si>
    <t>TEPSLB21C336M8RF</t>
  </si>
  <si>
    <t>TEPSLB21C336M8RSY</t>
  </si>
  <si>
    <t>TEPSLB21C475M8R</t>
  </si>
  <si>
    <t>TEPSLB21D336M8R</t>
  </si>
  <si>
    <t>TEPSLB21E156M1008RKT2</t>
  </si>
  <si>
    <t>TEPSLB21E156M8R</t>
  </si>
  <si>
    <t>TEPSLB21E156M8RF</t>
  </si>
  <si>
    <t>TEPSLB21E226M8R</t>
  </si>
  <si>
    <t>TEPSLB21E226M8RLG</t>
  </si>
  <si>
    <t>TEPSLB21E685M8R</t>
  </si>
  <si>
    <t>TEPSLB30E227M358R</t>
  </si>
  <si>
    <t>TEPSLB30E227M358RKT2</t>
  </si>
  <si>
    <t>TEPSLB30G227M358R</t>
  </si>
  <si>
    <t>TEPSLB30J107M35HF8R</t>
  </si>
  <si>
    <t>TEPSLB30J107M458R</t>
  </si>
  <si>
    <t>TEPSLB30J107M458RF</t>
  </si>
  <si>
    <t>TEPSLB30J157M308RKT3</t>
  </si>
  <si>
    <t>TEPSLB30J157M30AHF8R</t>
  </si>
  <si>
    <t>TEPSLB30J157M30PHF8R</t>
  </si>
  <si>
    <t>TEPSLB30J157M358R</t>
  </si>
  <si>
    <t>TEPSLB31A476M8R</t>
  </si>
  <si>
    <t>TEPSLB31C336M458R</t>
  </si>
  <si>
    <t>TEPSLB31C336M558RF</t>
  </si>
  <si>
    <t>TEPSLB31C336M558RKT3</t>
  </si>
  <si>
    <t>TEPSLB31C336M55E8RLG</t>
  </si>
  <si>
    <t>TEPSLB31C336M55PHF8R</t>
  </si>
  <si>
    <t>TEPSLB31M276M55QHF8R</t>
  </si>
  <si>
    <t>PSL/G/H All</t>
  </si>
  <si>
    <t>PSH B2</t>
  </si>
  <si>
    <t>PSU B2</t>
  </si>
  <si>
    <t>PSG B2</t>
  </si>
  <si>
    <t>PSL B2</t>
  </si>
  <si>
    <t>Ta Capacitor Yield Target for CY2025</t>
  </si>
  <si>
    <t>Under adjust : Mattika M.</t>
  </si>
  <si>
    <r>
      <t>Start :</t>
    </r>
    <r>
      <rPr>
        <i/>
        <sz val="14"/>
        <color rgb="FFFF0000"/>
        <rFont val="Calibri"/>
        <family val="2"/>
        <scheme val="minor"/>
      </rPr>
      <t xml:space="preserve"> 30-Sep-24</t>
    </r>
  </si>
  <si>
    <t>For cal CY24</t>
  </si>
  <si>
    <t xml:space="preserve">CY25 Production Plan : Ta Map (Output) </t>
  </si>
  <si>
    <t>Refer : Ta Map ABB CY25 [ 15-Sep-24 ]</t>
  </si>
  <si>
    <t>Target Yield</t>
  </si>
  <si>
    <t>CY2025</t>
  </si>
  <si>
    <t>TTL Target of CY25</t>
  </si>
  <si>
    <t xml:space="preserve">CY25 Production Plan : Ta Map (Cal input) </t>
  </si>
  <si>
    <t>PSL&amp;PSG</t>
  </si>
  <si>
    <t>PSL B</t>
  </si>
  <si>
    <t>FPS A2 &amp; A3</t>
  </si>
  <si>
    <t xml:space="preserve">CY25 Production Plan : Ta Map (Cal Yield Total) </t>
  </si>
  <si>
    <t>Target CY24</t>
  </si>
  <si>
    <t>Output</t>
  </si>
  <si>
    <t>Input</t>
  </si>
  <si>
    <t>Ta Capacitor Yield Target for CY2026</t>
  </si>
  <si>
    <r>
      <t>Start :</t>
    </r>
    <r>
      <rPr>
        <i/>
        <sz val="14"/>
        <color rgb="FFFF0000"/>
        <rFont val="Calibri"/>
        <family val="2"/>
        <scheme val="minor"/>
      </rPr>
      <t xml:space="preserve"> 22-Sep-25</t>
    </r>
  </si>
  <si>
    <t>For cal CY25</t>
  </si>
  <si>
    <t>For cal CY26</t>
  </si>
  <si>
    <t>CY24</t>
  </si>
  <si>
    <r>
      <rPr>
        <u/>
        <sz val="11"/>
        <color theme="1"/>
        <rFont val="Calibri"/>
        <family val="2"/>
      </rPr>
      <t>CY26</t>
    </r>
    <r>
      <rPr>
        <sz val="11"/>
        <color theme="1"/>
        <rFont val="Calibri"/>
        <family val="2"/>
        <charset val="128"/>
      </rPr>
      <t xml:space="preserve"> Production Plan : Ta Map (Output) </t>
    </r>
  </si>
  <si>
    <t>Refer : Ta Map ABB CY26 [ 18-Sep-25 ]</t>
  </si>
  <si>
    <t>Dec'21</t>
  </si>
  <si>
    <t>Dec'22</t>
  </si>
  <si>
    <t>Dec'23</t>
  </si>
  <si>
    <t>Sep'24</t>
  </si>
  <si>
    <t>Dec'24</t>
  </si>
  <si>
    <t>TTL Target of CY26</t>
  </si>
  <si>
    <r>
      <rPr>
        <u/>
        <sz val="11"/>
        <color theme="1"/>
        <rFont val="Calibri"/>
        <family val="2"/>
      </rPr>
      <t>CY26</t>
    </r>
    <r>
      <rPr>
        <sz val="11"/>
        <color theme="1"/>
        <rFont val="Calibri"/>
        <family val="2"/>
        <charset val="128"/>
      </rPr>
      <t xml:space="preserve"> Production Plan : Ta Map (Cal input) </t>
    </r>
  </si>
  <si>
    <t xml:space="preserve">CY26 Production Plan : Ta Map (Cal Yield Total) </t>
  </si>
  <si>
    <t>Target CY25</t>
  </si>
  <si>
    <t>Target Yield CY26</t>
  </si>
  <si>
    <t>CY26 budget rate has been defined as follows. </t>
  </si>
  <si>
    <t>USD/JPY : 137.82</t>
  </si>
  <si>
    <t>USD/THB : 32.00</t>
  </si>
  <si>
    <t>Facedown</t>
  </si>
  <si>
    <t xml:space="preserve">Standard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</si>
</sst>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[$€-2]* #,##0.00_);_([$€-2]* \(#,##0.00\);_([$€-2]* &quot;-&quot;??_)"/>
  </numFmts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</font>
    <font>
      <b/>
      <sz val="11"/>
      <color theme="1"/>
      <name val="Calibri"/>
      <family val="2"/>
    </font>
    <font>
      <i/>
      <sz val="14"/>
      <color theme="1"/>
      <name val="Calibri"/>
      <family val="2"/>
      <scheme val="minor"/>
    </font>
    <font>
      <i/>
      <sz val="14"/>
      <color rgb="FFFF0000"/>
      <name val="Calibri"/>
      <family val="2"/>
      <scheme val="minor"/>
    </font>
    <font>
      <b/>
      <u/>
      <sz val="18"/>
      <color theme="1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  <font>
      <sz val="11"/>
      <color rgb="FFFF0000"/>
      <name val="Calibri"/>
      <family val="2"/>
      <charset val="128"/>
    </font>
    <font>
      <sz val="11"/>
      <color rgb="FF0070C0"/>
      <name val="Calibri"/>
      <family val="2"/>
      <charset val="128"/>
    </font>
    <font>
      <b/>
      <sz val="11"/>
      <color rgb="FF00206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206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sz val="11"/>
      <name val="Calibri"/>
      <family val="3"/>
      <charset val="128"/>
      <scheme val="minor"/>
    </font>
    <font>
      <b/>
      <sz val="9"/>
      <color indexed="81"/>
      <name val="Tahoma"/>
      <family val="2"/>
    </font>
    <font>
      <sz val="11"/>
      <name val="Calibri"/>
      <family val="2"/>
      <charset val="128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0000FF"/>
      <name val="Calibri"/>
      <family val="2"/>
    </font>
    <font>
      <i/>
      <sz val="10"/>
      <color rgb="FFFF0000"/>
      <name val="Calibri"/>
      <family val="2"/>
    </font>
    <font>
      <b/>
      <u/>
      <sz val="11"/>
      <color rgb="FF0000FF"/>
      <name val="Calibri"/>
      <family val="2"/>
    </font>
    <font>
      <i/>
      <sz val="10"/>
      <color rgb="FF0000FF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double">
        <color auto="1"/>
      </right>
      <top style="thin">
        <color indexed="64"/>
      </top>
      <bottom/>
      <diagonal/>
    </border>
    <border>
      <left style="hair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double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2" fillId="0" borderId="0">
      <alignment vertical="center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66" applyNumberFormat="0" applyFill="0" applyAlignment="0" applyProtection="0"/>
    <xf numFmtId="0" fontId="36" fillId="0" borderId="67" applyNumberFormat="0" applyFill="0" applyAlignment="0" applyProtection="0"/>
    <xf numFmtId="0" fontId="37" fillId="0" borderId="68" applyNumberFormat="0" applyFill="0" applyAlignment="0" applyProtection="0"/>
    <xf numFmtId="0" fontId="37" fillId="0" borderId="0" applyNumberFormat="0" applyFill="0" applyBorder="0" applyAlignment="0" applyProtection="0"/>
    <xf numFmtId="0" fontId="38" fillId="11" borderId="0" applyNumberFormat="0" applyBorder="0" applyAlignment="0" applyProtection="0"/>
    <xf numFmtId="0" fontId="39" fillId="12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69" applyNumberFormat="0" applyAlignment="0" applyProtection="0"/>
    <xf numFmtId="0" fontId="42" fillId="15" borderId="70" applyNumberFormat="0" applyAlignment="0" applyProtection="0"/>
    <xf numFmtId="0" fontId="43" fillId="15" borderId="69" applyNumberFormat="0" applyAlignment="0" applyProtection="0"/>
    <xf numFmtId="0" fontId="44" fillId="0" borderId="71" applyNumberFormat="0" applyFill="0" applyAlignment="0" applyProtection="0"/>
    <xf numFmtId="0" fontId="45" fillId="16" borderId="72" applyNumberFormat="0" applyAlignment="0" applyProtection="0"/>
    <xf numFmtId="0" fontId="46" fillId="0" borderId="0" applyNumberFormat="0" applyFill="0" applyBorder="0" applyAlignment="0" applyProtection="0"/>
    <xf numFmtId="0" fontId="15" fillId="17" borderId="73" applyNumberFormat="0" applyFont="0" applyAlignment="0" applyProtection="0"/>
    <xf numFmtId="0" fontId="47" fillId="0" borderId="0" applyNumberFormat="0" applyFill="0" applyBorder="0" applyAlignment="0" applyProtection="0"/>
    <xf numFmtId="0" fontId="1" fillId="0" borderId="74" applyNumberFormat="0" applyFill="0" applyAlignment="0" applyProtection="0"/>
    <xf numFmtId="0" fontId="48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48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48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48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48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48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217">
    <xf numFmtId="0" fontId="0" fillId="0" borderId="0" xfId="0"/>
    <xf numFmtId="0" fontId="2" fillId="0" borderId="0" xfId="1">
      <alignment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2" fillId="0" borderId="2" xfId="1" applyNumberForma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164" fontId="2" fillId="0" borderId="4" xfId="1" applyNumberFormat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164" fontId="2" fillId="0" borderId="6" xfId="1" applyNumberFormat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1" fillId="0" borderId="0" xfId="1" applyFont="1">
      <alignment vertical="center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0" fillId="0" borderId="0" xfId="0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7" fillId="0" borderId="0" xfId="1" applyFont="1">
      <alignment vertical="center"/>
    </xf>
    <xf numFmtId="0" fontId="8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164" fontId="2" fillId="0" borderId="10" xfId="1" applyNumberFormat="1" applyBorder="1" applyAlignment="1">
      <alignment horizontal="center" vertical="center"/>
    </xf>
    <xf numFmtId="164" fontId="2" fillId="0" borderId="11" xfId="1" applyNumberFormat="1" applyBorder="1" applyAlignment="1">
      <alignment horizontal="center" vertical="center"/>
    </xf>
    <xf numFmtId="164" fontId="3" fillId="2" borderId="13" xfId="1" applyNumberFormat="1" applyFont="1" applyFill="1" applyBorder="1" applyAlignment="1">
      <alignment horizontal="center" vertical="center"/>
    </xf>
    <xf numFmtId="164" fontId="2" fillId="0" borderId="14" xfId="1" applyNumberForma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3" xfId="1" applyBorder="1">
      <alignment vertical="center"/>
    </xf>
    <xf numFmtId="0" fontId="2" fillId="0" borderId="15" xfId="1" applyBorder="1" applyAlignment="1">
      <alignment horizontal="center" vertical="center"/>
    </xf>
    <xf numFmtId="0" fontId="3" fillId="2" borderId="1" xfId="1" applyFont="1" applyFill="1" applyBorder="1">
      <alignment vertical="center"/>
    </xf>
    <xf numFmtId="164" fontId="9" fillId="0" borderId="11" xfId="1" applyNumberFormat="1" applyFont="1" applyBorder="1" applyAlignment="1">
      <alignment horizontal="center" vertical="center"/>
    </xf>
    <xf numFmtId="164" fontId="9" fillId="0" borderId="12" xfId="1" applyNumberFormat="1" applyFont="1" applyBorder="1" applyAlignment="1">
      <alignment horizontal="center" vertical="center"/>
    </xf>
    <xf numFmtId="2" fontId="2" fillId="0" borderId="6" xfId="1" applyNumberFormat="1" applyBorder="1" applyAlignment="1">
      <alignment horizontal="center" vertical="center"/>
    </xf>
    <xf numFmtId="2" fontId="2" fillId="0" borderId="4" xfId="1" applyNumberFormat="1" applyBorder="1" applyAlignment="1">
      <alignment horizontal="center" vertical="center"/>
    </xf>
    <xf numFmtId="2" fontId="2" fillId="0" borderId="2" xfId="1" applyNumberFormat="1" applyBorder="1" applyAlignment="1">
      <alignment horizontal="center" vertical="center"/>
    </xf>
    <xf numFmtId="164" fontId="10" fillId="0" borderId="15" xfId="1" applyNumberFormat="1" applyFont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9" fontId="2" fillId="0" borderId="0" xfId="1" applyNumberFormat="1">
      <alignment vertical="center"/>
    </xf>
    <xf numFmtId="164" fontId="9" fillId="2" borderId="11" xfId="1" applyNumberFormat="1" applyFont="1" applyFill="1" applyBorder="1" applyAlignment="1">
      <alignment horizontal="center" vertical="center"/>
    </xf>
    <xf numFmtId="9" fontId="9" fillId="0" borderId="0" xfId="1" applyNumberFormat="1" applyFont="1">
      <alignment vertical="center"/>
    </xf>
    <xf numFmtId="164" fontId="13" fillId="2" borderId="1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18" xfId="0" applyFill="1" applyBorder="1" applyAlignment="1">
      <alignment vertical="center"/>
    </xf>
    <xf numFmtId="41" fontId="18" fillId="0" borderId="20" xfId="2" applyFont="1" applyFill="1" applyBorder="1" applyAlignment="1">
      <alignment vertical="center"/>
    </xf>
    <xf numFmtId="41" fontId="18" fillId="0" borderId="21" xfId="2" applyFont="1" applyFill="1" applyBorder="1" applyAlignment="1">
      <alignment vertical="center"/>
    </xf>
    <xf numFmtId="41" fontId="18" fillId="0" borderId="22" xfId="2" applyFont="1" applyFill="1" applyBorder="1" applyAlignment="1">
      <alignment vertical="center"/>
    </xf>
    <xf numFmtId="41" fontId="0" fillId="0" borderId="23" xfId="2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2" borderId="24" xfId="0" applyFill="1" applyBorder="1" applyAlignment="1">
      <alignment vertical="center"/>
    </xf>
    <xf numFmtId="41" fontId="18" fillId="0" borderId="26" xfId="2" applyFont="1" applyBorder="1" applyAlignment="1">
      <alignment vertical="center"/>
    </xf>
    <xf numFmtId="41" fontId="18" fillId="0" borderId="27" xfId="2" applyFont="1" applyBorder="1" applyAlignment="1">
      <alignment vertical="center"/>
    </xf>
    <xf numFmtId="41" fontId="18" fillId="0" borderId="28" xfId="2" applyFont="1" applyBorder="1" applyAlignment="1">
      <alignment vertical="center"/>
    </xf>
    <xf numFmtId="41" fontId="18" fillId="0" borderId="29" xfId="2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0" xfId="0" applyBorder="1" applyAlignment="1">
      <alignment vertical="center"/>
    </xf>
    <xf numFmtId="0" fontId="19" fillId="0" borderId="31" xfId="0" applyFont="1" applyBorder="1" applyAlignment="1">
      <alignment vertical="center"/>
    </xf>
    <xf numFmtId="0" fontId="19" fillId="2" borderId="30" xfId="0" applyFont="1" applyFill="1" applyBorder="1" applyAlignment="1">
      <alignment vertical="center"/>
    </xf>
    <xf numFmtId="41" fontId="18" fillId="0" borderId="32" xfId="2" applyFont="1" applyBorder="1" applyAlignment="1">
      <alignment vertical="center"/>
    </xf>
    <xf numFmtId="41" fontId="18" fillId="0" borderId="33" xfId="2" applyFont="1" applyBorder="1" applyAlignment="1">
      <alignment vertical="center"/>
    </xf>
    <xf numFmtId="41" fontId="18" fillId="0" borderId="34" xfId="2" applyFont="1" applyBorder="1" applyAlignment="1">
      <alignment vertical="center"/>
    </xf>
    <xf numFmtId="41" fontId="18" fillId="0" borderId="35" xfId="2" applyFont="1" applyBorder="1" applyAlignment="1">
      <alignment vertical="center"/>
    </xf>
    <xf numFmtId="0" fontId="0" fillId="0" borderId="5" xfId="0" applyBorder="1" applyAlignment="1">
      <alignment vertical="center"/>
    </xf>
    <xf numFmtId="0" fontId="19" fillId="0" borderId="36" xfId="0" applyFont="1" applyBorder="1" applyAlignment="1">
      <alignment vertical="center"/>
    </xf>
    <xf numFmtId="41" fontId="18" fillId="0" borderId="37" xfId="2" applyFont="1" applyBorder="1" applyAlignment="1">
      <alignment vertical="center"/>
    </xf>
    <xf numFmtId="41" fontId="18" fillId="0" borderId="38" xfId="2" applyFont="1" applyBorder="1" applyAlignment="1">
      <alignment vertical="center"/>
    </xf>
    <xf numFmtId="41" fontId="18" fillId="0" borderId="39" xfId="2" applyFont="1" applyBorder="1" applyAlignment="1">
      <alignment vertical="center"/>
    </xf>
    <xf numFmtId="41" fontId="18" fillId="0" borderId="40" xfId="2" applyFont="1" applyBorder="1" applyAlignment="1">
      <alignment vertical="center"/>
    </xf>
    <xf numFmtId="41" fontId="18" fillId="0" borderId="41" xfId="2" applyFont="1" applyBorder="1" applyAlignment="1">
      <alignment vertical="center"/>
    </xf>
    <xf numFmtId="41" fontId="18" fillId="0" borderId="42" xfId="2" applyFont="1" applyBorder="1" applyAlignment="1">
      <alignment vertical="center"/>
    </xf>
    <xf numFmtId="41" fontId="18" fillId="0" borderId="43" xfId="2" applyFont="1" applyBorder="1" applyAlignment="1">
      <alignment vertical="center"/>
    </xf>
    <xf numFmtId="41" fontId="18" fillId="0" borderId="44" xfId="2" applyFon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0" fillId="5" borderId="46" xfId="0" applyFill="1" applyBorder="1" applyAlignment="1">
      <alignment vertical="center"/>
    </xf>
    <xf numFmtId="0" fontId="0" fillId="2" borderId="45" xfId="0" applyFill="1" applyBorder="1" applyAlignment="1">
      <alignment vertical="center"/>
    </xf>
    <xf numFmtId="41" fontId="18" fillId="5" borderId="26" xfId="2" applyFont="1" applyFill="1" applyBorder="1" applyAlignment="1">
      <alignment vertical="center"/>
    </xf>
    <xf numFmtId="41" fontId="18" fillId="5" borderId="27" xfId="2" applyFont="1" applyFill="1" applyBorder="1" applyAlignment="1">
      <alignment vertical="center"/>
    </xf>
    <xf numFmtId="41" fontId="18" fillId="5" borderId="28" xfId="2" applyFont="1" applyFill="1" applyBorder="1" applyAlignment="1">
      <alignment vertical="center"/>
    </xf>
    <xf numFmtId="41" fontId="0" fillId="5" borderId="29" xfId="2" applyFon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2" borderId="30" xfId="0" applyFill="1" applyBorder="1" applyAlignment="1">
      <alignment vertical="center"/>
    </xf>
    <xf numFmtId="41" fontId="18" fillId="0" borderId="37" xfId="2" applyFont="1" applyFill="1" applyBorder="1" applyAlignment="1">
      <alignment vertical="center"/>
    </xf>
    <xf numFmtId="41" fontId="18" fillId="0" borderId="38" xfId="2" applyFont="1" applyFill="1" applyBorder="1" applyAlignment="1">
      <alignment vertical="center"/>
    </xf>
    <xf numFmtId="41" fontId="18" fillId="0" borderId="39" xfId="2" applyFont="1" applyFill="1" applyBorder="1" applyAlignment="1">
      <alignment vertical="center"/>
    </xf>
    <xf numFmtId="41" fontId="0" fillId="0" borderId="40" xfId="2" applyFont="1" applyBorder="1" applyAlignment="1">
      <alignment vertical="center"/>
    </xf>
    <xf numFmtId="0" fontId="0" fillId="0" borderId="31" xfId="0" applyBorder="1" applyAlignment="1">
      <alignment vertical="center"/>
    </xf>
    <xf numFmtId="41" fontId="0" fillId="0" borderId="37" xfId="2" applyFont="1" applyFill="1" applyBorder="1" applyAlignment="1">
      <alignment vertical="center"/>
    </xf>
    <xf numFmtId="41" fontId="0" fillId="0" borderId="38" xfId="2" applyFont="1" applyFill="1" applyBorder="1" applyAlignment="1">
      <alignment vertical="center"/>
    </xf>
    <xf numFmtId="41" fontId="18" fillId="5" borderId="29" xfId="2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0" fontId="0" fillId="6" borderId="46" xfId="0" applyFill="1" applyBorder="1" applyAlignment="1">
      <alignment vertical="center"/>
    </xf>
    <xf numFmtId="41" fontId="18" fillId="6" borderId="26" xfId="2" applyFont="1" applyFill="1" applyBorder="1" applyAlignment="1">
      <alignment vertical="center"/>
    </xf>
    <xf numFmtId="41" fontId="18" fillId="6" borderId="27" xfId="2" applyFont="1" applyFill="1" applyBorder="1" applyAlignment="1">
      <alignment vertical="center"/>
    </xf>
    <xf numFmtId="41" fontId="18" fillId="6" borderId="28" xfId="2" applyFont="1" applyFill="1" applyBorder="1" applyAlignment="1">
      <alignment vertical="center"/>
    </xf>
    <xf numFmtId="41" fontId="0" fillId="6" borderId="29" xfId="2" applyFont="1" applyFill="1" applyBorder="1" applyAlignment="1">
      <alignment vertical="center"/>
    </xf>
    <xf numFmtId="41" fontId="0" fillId="0" borderId="40" xfId="2" applyFont="1" applyFill="1" applyBorder="1" applyAlignment="1">
      <alignment vertical="center"/>
    </xf>
    <xf numFmtId="0" fontId="20" fillId="0" borderId="36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0" fontId="0" fillId="6" borderId="47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48" xfId="0" applyFill="1" applyBorder="1" applyAlignment="1">
      <alignment vertical="center"/>
    </xf>
    <xf numFmtId="41" fontId="18" fillId="6" borderId="37" xfId="2" applyFont="1" applyFill="1" applyBorder="1" applyAlignment="1">
      <alignment vertical="center"/>
    </xf>
    <xf numFmtId="41" fontId="18" fillId="6" borderId="38" xfId="2" applyFont="1" applyFill="1" applyBorder="1" applyAlignment="1">
      <alignment vertical="center"/>
    </xf>
    <xf numFmtId="41" fontId="18" fillId="6" borderId="39" xfId="2" applyFont="1" applyFill="1" applyBorder="1" applyAlignment="1">
      <alignment vertical="center"/>
    </xf>
    <xf numFmtId="41" fontId="0" fillId="6" borderId="40" xfId="2" applyFont="1" applyFill="1" applyBorder="1" applyAlignment="1">
      <alignment vertical="center"/>
    </xf>
    <xf numFmtId="0" fontId="0" fillId="7" borderId="49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41" fontId="18" fillId="7" borderId="50" xfId="2" applyFont="1" applyFill="1" applyBorder="1" applyAlignment="1">
      <alignment vertical="center"/>
    </xf>
    <xf numFmtId="41" fontId="18" fillId="7" borderId="51" xfId="2" applyFont="1" applyFill="1" applyBorder="1" applyAlignment="1">
      <alignment vertical="center"/>
    </xf>
    <xf numFmtId="41" fontId="18" fillId="7" borderId="52" xfId="2" applyFont="1" applyFill="1" applyBorder="1" applyAlignment="1">
      <alignment vertical="center"/>
    </xf>
    <xf numFmtId="41" fontId="0" fillId="7" borderId="53" xfId="2" applyFont="1" applyFill="1" applyBorder="1" applyAlignment="1">
      <alignment vertical="center"/>
    </xf>
    <xf numFmtId="41" fontId="0" fillId="0" borderId="0" xfId="0" applyNumberFormat="1"/>
    <xf numFmtId="0" fontId="2" fillId="0" borderId="54" xfId="1" applyBorder="1" applyAlignment="1">
      <alignment horizontal="center" vertical="center"/>
    </xf>
    <xf numFmtId="0" fontId="2" fillId="0" borderId="55" xfId="1" applyBorder="1" applyAlignment="1">
      <alignment horizontal="center" vertical="center"/>
    </xf>
    <xf numFmtId="2" fontId="2" fillId="0" borderId="56" xfId="1" applyNumberFormat="1" applyBorder="1" applyAlignment="1">
      <alignment horizontal="center" vertical="center"/>
    </xf>
    <xf numFmtId="0" fontId="2" fillId="0" borderId="57" xfId="1" applyBorder="1" applyAlignment="1">
      <alignment horizontal="center" vertical="center"/>
    </xf>
    <xf numFmtId="0" fontId="2" fillId="0" borderId="58" xfId="1" applyBorder="1" applyAlignment="1">
      <alignment horizontal="center" vertical="center"/>
    </xf>
    <xf numFmtId="2" fontId="2" fillId="0" borderId="59" xfId="1" applyNumberFormat="1" applyBorder="1" applyAlignment="1">
      <alignment horizontal="center" vertical="center"/>
    </xf>
    <xf numFmtId="2" fontId="2" fillId="0" borderId="58" xfId="1" applyNumberFormat="1" applyBorder="1" applyAlignment="1">
      <alignment horizontal="center" vertical="center"/>
    </xf>
    <xf numFmtId="2" fontId="2" fillId="0" borderId="57" xfId="1" applyNumberFormat="1" applyBorder="1" applyAlignment="1">
      <alignment horizontal="center" vertical="center"/>
    </xf>
    <xf numFmtId="0" fontId="2" fillId="0" borderId="60" xfId="1" applyBorder="1" applyAlignment="1">
      <alignment horizontal="center" vertical="center"/>
    </xf>
    <xf numFmtId="2" fontId="2" fillId="0" borderId="61" xfId="1" applyNumberFormat="1" applyBorder="1" applyAlignment="1">
      <alignment horizontal="center" vertical="center"/>
    </xf>
    <xf numFmtId="2" fontId="2" fillId="0" borderId="62" xfId="1" applyNumberFormat="1" applyBorder="1" applyAlignment="1">
      <alignment horizontal="center" vertical="center"/>
    </xf>
    <xf numFmtId="17" fontId="3" fillId="3" borderId="1" xfId="1" applyNumberFormat="1" applyFont="1" applyFill="1" applyBorder="1" applyAlignment="1">
      <alignment horizontal="center" vertical="center"/>
    </xf>
    <xf numFmtId="164" fontId="3" fillId="2" borderId="64" xfId="1" applyNumberFormat="1" applyFont="1" applyFill="1" applyBorder="1" applyAlignment="1">
      <alignment horizontal="center" vertical="center"/>
    </xf>
    <xf numFmtId="164" fontId="3" fillId="2" borderId="65" xfId="1" applyNumberFormat="1" applyFont="1" applyFill="1" applyBorder="1" applyAlignment="1">
      <alignment horizontal="center" vertical="center"/>
    </xf>
    <xf numFmtId="2" fontId="3" fillId="2" borderId="63" xfId="1" applyNumberFormat="1" applyFont="1" applyFill="1" applyBorder="1" applyAlignment="1">
      <alignment horizontal="center" vertical="center"/>
    </xf>
    <xf numFmtId="164" fontId="12" fillId="0" borderId="4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165" fontId="23" fillId="0" borderId="15" xfId="3" applyNumberFormat="1" applyFont="1" applyBorder="1" applyAlignment="1">
      <alignment horizontal="center" vertical="center"/>
    </xf>
    <xf numFmtId="165" fontId="11" fillId="2" borderId="1" xfId="3" applyNumberFormat="1" applyFont="1" applyFill="1" applyBorder="1" applyAlignment="1">
      <alignment horizontal="center" vertical="center"/>
    </xf>
    <xf numFmtId="164" fontId="24" fillId="0" borderId="6" xfId="1" applyNumberFormat="1" applyFont="1" applyBorder="1" applyAlignment="1">
      <alignment horizontal="center" vertical="center"/>
    </xf>
    <xf numFmtId="164" fontId="24" fillId="0" borderId="4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25" fillId="0" borderId="0" xfId="1" applyFont="1">
      <alignment vertical="center"/>
    </xf>
    <xf numFmtId="2" fontId="9" fillId="0" borderId="59" xfId="1" applyNumberFormat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0" fontId="26" fillId="0" borderId="0" xfId="1" applyFont="1">
      <alignment vertical="center"/>
    </xf>
    <xf numFmtId="164" fontId="1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5" fontId="23" fillId="0" borderId="0" xfId="3" applyNumberFormat="1" applyFont="1" applyFill="1" applyBorder="1" applyAlignment="1">
      <alignment horizontal="center" vertical="center"/>
    </xf>
    <xf numFmtId="0" fontId="3" fillId="0" borderId="0" xfId="1" applyFont="1">
      <alignment vertical="center"/>
    </xf>
    <xf numFmtId="165" fontId="11" fillId="0" borderId="0" xfId="3" applyNumberFormat="1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164" fontId="26" fillId="0" borderId="0" xfId="1" applyNumberFormat="1" applyFont="1" applyAlignment="1">
      <alignment horizontal="left" vertical="center"/>
    </xf>
    <xf numFmtId="0" fontId="2" fillId="8" borderId="0" xfId="1" applyFill="1">
      <alignment vertical="center"/>
    </xf>
    <xf numFmtId="9" fontId="2" fillId="8" borderId="0" xfId="1" applyNumberFormat="1" applyFill="1">
      <alignment vertical="center"/>
    </xf>
    <xf numFmtId="9" fontId="9" fillId="8" borderId="0" xfId="1" applyNumberFormat="1" applyFont="1" applyFill="1">
      <alignment vertical="center"/>
    </xf>
    <xf numFmtId="0" fontId="9" fillId="6" borderId="0" xfId="1" applyFont="1" applyFill="1" applyAlignment="1">
      <alignment horizontal="center" vertical="center"/>
    </xf>
    <xf numFmtId="164" fontId="12" fillId="0" borderId="6" xfId="1" applyNumberFormat="1" applyFont="1" applyBorder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164" fontId="14" fillId="0" borderId="6" xfId="1" applyNumberFormat="1" applyFont="1" applyBorder="1" applyAlignment="1">
      <alignment horizontal="center" vertical="center"/>
    </xf>
    <xf numFmtId="164" fontId="14" fillId="0" borderId="4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2" fillId="4" borderId="1" xfId="1" applyFill="1" applyBorder="1" applyAlignment="1">
      <alignment horizontal="center" vertical="center" wrapText="1"/>
    </xf>
    <xf numFmtId="164" fontId="14" fillId="0" borderId="1" xfId="1" applyNumberFormat="1" applyFont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0" fontId="27" fillId="0" borderId="0" xfId="1" applyFont="1">
      <alignment vertical="center"/>
    </xf>
    <xf numFmtId="164" fontId="28" fillId="0" borderId="15" xfId="1" applyNumberFormat="1" applyFont="1" applyBorder="1" applyAlignment="1">
      <alignment horizontal="center" vertical="center"/>
    </xf>
    <xf numFmtId="164" fontId="27" fillId="2" borderId="1" xfId="1" applyNumberFormat="1" applyFont="1" applyFill="1" applyBorder="1" applyAlignment="1">
      <alignment horizontal="center" vertical="center"/>
    </xf>
    <xf numFmtId="15" fontId="29" fillId="9" borderId="0" xfId="1" applyNumberFormat="1" applyFont="1" applyFill="1">
      <alignment vertical="center"/>
    </xf>
    <xf numFmtId="164" fontId="24" fillId="9" borderId="6" xfId="1" applyNumberFormat="1" applyFont="1" applyFill="1" applyBorder="1" applyAlignment="1">
      <alignment horizontal="center" vertical="center"/>
    </xf>
    <xf numFmtId="164" fontId="24" fillId="9" borderId="4" xfId="1" applyNumberFormat="1" applyFont="1" applyFill="1" applyBorder="1" applyAlignment="1">
      <alignment horizontal="center" vertical="center"/>
    </xf>
    <xf numFmtId="164" fontId="30" fillId="9" borderId="4" xfId="1" applyNumberFormat="1" applyFont="1" applyFill="1" applyBorder="1" applyAlignment="1">
      <alignment horizontal="center" vertical="center"/>
    </xf>
    <xf numFmtId="0" fontId="31" fillId="0" borderId="0" xfId="1" applyFont="1" applyAlignment="1">
      <alignment horizontal="center" vertical="center"/>
    </xf>
    <xf numFmtId="164" fontId="32" fillId="0" borderId="0" xfId="1" applyNumberFormat="1" applyFont="1">
      <alignment vertical="center"/>
    </xf>
    <xf numFmtId="0" fontId="30" fillId="10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" fillId="10" borderId="0" xfId="1" applyFill="1" applyAlignment="1">
      <alignment horizontal="center" vertical="center"/>
    </xf>
    <xf numFmtId="15" fontId="29" fillId="9" borderId="0" xfId="1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33" fillId="0" borderId="0" xfId="1" applyFont="1" applyAlignment="1">
      <alignment horizontal="center" vertical="center"/>
    </xf>
    <xf numFmtId="164" fontId="30" fillId="0" borderId="4" xfId="1" applyNumberFormat="1" applyFont="1" applyBorder="1" applyAlignment="1">
      <alignment horizontal="center" vertical="center"/>
    </xf>
    <xf numFmtId="0" fontId="2" fillId="0" borderId="75" xfId="1" applyBorder="1" applyAlignment="1">
      <alignment horizontal="center" vertical="center"/>
    </xf>
    <xf numFmtId="0" fontId="2" fillId="0" borderId="76" xfId="1" applyBorder="1" applyAlignment="1">
      <alignment horizontal="center" vertical="center"/>
    </xf>
    <xf numFmtId="2" fontId="2" fillId="0" borderId="76" xfId="1" applyNumberFormat="1" applyBorder="1" applyAlignment="1">
      <alignment horizontal="center" vertical="center"/>
    </xf>
    <xf numFmtId="2" fontId="2" fillId="0" borderId="77" xfId="1" applyNumberFormat="1" applyBorder="1" applyAlignment="1">
      <alignment horizontal="center" vertical="center"/>
    </xf>
    <xf numFmtId="164" fontId="3" fillId="2" borderId="78" xfId="1" applyNumberFormat="1" applyFont="1" applyFill="1" applyBorder="1" applyAlignment="1">
      <alignment horizontal="center" vertical="center"/>
    </xf>
    <xf numFmtId="2" fontId="23" fillId="0" borderId="59" xfId="1" applyNumberFormat="1" applyFont="1" applyBorder="1" applyAlignment="1">
      <alignment horizontal="center" vertical="center"/>
    </xf>
    <xf numFmtId="164" fontId="2" fillId="0" borderId="0" xfId="1" applyNumberFormat="1">
      <alignment vertical="center"/>
    </xf>
    <xf numFmtId="164" fontId="7" fillId="0" borderId="0" xfId="1" applyNumberFormat="1" applyFont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center" vertical="center"/>
    </xf>
    <xf numFmtId="165" fontId="11" fillId="4" borderId="1" xfId="3" applyNumberFormat="1" applyFont="1" applyFill="1" applyBorder="1" applyAlignment="1">
      <alignment horizontal="center" vertical="center"/>
    </xf>
    <xf numFmtId="2" fontId="24" fillId="0" borderId="4" xfId="1" applyNumberFormat="1" applyFont="1" applyBorder="1" applyAlignment="1">
      <alignment horizontal="center" vertical="center"/>
    </xf>
    <xf numFmtId="164" fontId="25" fillId="0" borderId="6" xfId="1" applyNumberFormat="1" applyFont="1" applyBorder="1" applyAlignment="1">
      <alignment horizontal="center" vertical="center"/>
    </xf>
    <xf numFmtId="164" fontId="25" fillId="0" borderId="4" xfId="1" applyNumberFormat="1" applyFont="1" applyBorder="1" applyAlignment="1">
      <alignment horizontal="center" vertical="center"/>
    </xf>
    <xf numFmtId="164" fontId="24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164" fontId="16" fillId="0" borderId="0" xfId="1" applyNumberFormat="1" applyFont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3" fontId="3" fillId="0" borderId="1" xfId="3" applyFont="1" applyFill="1" applyBorder="1" applyAlignment="1">
      <alignment horizontal="center" vertical="center"/>
    </xf>
    <xf numFmtId="165" fontId="3" fillId="0" borderId="1" xfId="3" applyNumberFormat="1" applyFont="1" applyFill="1" applyBorder="1" applyAlignment="1">
      <alignment horizontal="center" vertical="center"/>
    </xf>
    <xf numFmtId="17" fontId="8" fillId="3" borderId="1" xfId="1" applyNumberFormat="1" applyFont="1" applyFill="1" applyBorder="1" applyAlignment="1">
      <alignment horizontal="center" vertical="center"/>
    </xf>
    <xf numFmtId="164" fontId="16" fillId="0" borderId="4" xfId="1" applyNumberFormat="1" applyFont="1" applyBorder="1" applyAlignment="1">
      <alignment horizontal="center" vertical="center"/>
    </xf>
    <xf numFmtId="165" fontId="3" fillId="0" borderId="0" xfId="3" applyNumberFormat="1" applyFont="1" applyFill="1" applyBorder="1" applyAlignment="1">
      <alignment horizontal="center" vertical="center"/>
    </xf>
    <xf numFmtId="0" fontId="7" fillId="0" borderId="24" xfId="1" applyFont="1" applyBorder="1" applyAlignment="1">
      <alignment horizontal="right" vertical="center"/>
    </xf>
  </cellXfs>
  <cellStyles count="5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3" builtinId="3"/>
    <cellStyle name="Comma [0]" xfId="2" builtinId="6"/>
    <cellStyle name="Comma 2" xfId="46" xr:uid="{056097FB-6AAA-4370-BF1D-575CFCEBB328}"/>
    <cellStyle name="Comma 3" xfId="48" xr:uid="{05109F9F-2B03-49FA-9003-F648FDC85F44}"/>
    <cellStyle name="Euro" xfId="49" xr:uid="{14DC44C6-D98E-4329-9E51-D0A5DF419992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5" xr:uid="{0F01CF97-C436-4F6E-BCF5-093224370E89}"/>
    <cellStyle name="Normal 3" xfId="50" xr:uid="{373D143A-D263-4C08-B315-63D137835AE8}"/>
    <cellStyle name="Normal 3 2" xfId="47" xr:uid="{7EAC1921-89D0-48EF-9AD3-AB50B210FA81}"/>
    <cellStyle name="Normal 4" xfId="51" xr:uid="{008ED923-637C-4D51-BF11-868822DD2FA0}"/>
    <cellStyle name="Normal 4 2" xfId="52" xr:uid="{B32D7689-A220-4AC7-93AD-20A5B0FF9614}"/>
    <cellStyle name="Normal 4 3" xfId="53" xr:uid="{BBAC3BE1-95E3-47B8-846F-35DFA72F519B}"/>
    <cellStyle name="Normal 4 4" xfId="54" xr:uid="{A9DA2A62-B09A-4E03-8705-7A0E3144420E}"/>
    <cellStyle name="Normal 5" xfId="1" xr:uid="{4521E2DB-9F05-41AB-BAAB-F0CB2BE76F0C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0000FF"/>
      <color rgb="FF0066FF"/>
      <color rgb="FF51ED94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customXml" Target="../customXml/item3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1\Data1\WINNT\TEMP\notesADDBB5\Apr05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ILY%20REPO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iripc60\C\WINDOWS\Temporary%20Internet%20Files\Content.IE5\9PM0ENKR\genkacod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lan300\share\200607%20&#65303;&#26376;&#24230;&#38656;&#32102;&#35519;&#25972;&#20250;&#35696;\20060707&#12304;&#20250;&#35696;&#24460;&#65288;&#20107;&#26989;&#20225;&#30011;&#37096;&#36039;&#26009;&#65289;&#12305;&#26842;&#12289;&#20986;&#33655;&#12289;&#29983;&#29987;&#65303;&#26376;&#2423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Documents%20and%20Settings/thongchai-w/Desktop/Yield%20FSV%20J1-case%20Nov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R&amp;QC_Eng/Orawan-K/COMPLAINT/Analysis/Product%20from%20WH/STOCK/Query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441;&#21729;&#20250;\&#65326;&#65317;&#65315;&#12488;&#12540;&#12461;&#12531;&#23500;&#23665;_B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5\d\97-2H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alesP\2003\spwk39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82A\Users\FA_Eng\Rojana\Trouble%20&amp;%20Repair%20report%20machine\2004\Apr%20'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PensionPlan_&amp;_LongServiceCompensation\&#9632;Coversheet%20201603%20Pension%20Plan_with%20Name%20(160109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03%20Spec/Master/NSG%20100002%20(%20Master%20Spec%20of%20NR%20SVS%20ESV%20SVZ%20Series%2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Prod_Eng/Plant%20A%20Engineer/Master%20(%20Prepare%20NIS%20)/NIS%20Maste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nec_2eng\web\op_&#65402;&#65405;&#65412;&#65408;&#65438;&#65395;&#65437;\01&#19978;CD\&#65315;&#65316;&#26045;&#31574;&#35443;&#32048;&#35336;&#3001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Documents%20and%20Settings\1147240084127\Local%20Settings\Temporary%20Internet%20Files\OLK40\&#9733;&#9733;&#26368;&#26032;&#28858;&#26367;&#12524;&#12540;&#12488;&#34920;%202012%20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DOCUME~1\AMORNR~1\LOCALS~1\Temp\notes6030C8\201103_PensionPlan(with_name)(110405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98A\Users_(New)\UPDATE%20DEC%2029'04\FA_Eng\%23ACC-E%20I\2004\JUN%20'04\EI-D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Payroll_&amp;_Bonus\&#9632;201502_Bonus_Alllowance_simulation%20%20Coversheet%20(for%201H%202015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ve.giq.hewitt.com/Documents%20and%20Settings/a48538/Desktop/Program%20Files/Ameol2/Users/Cix/Attach/Consol2005ADM_disclosur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1\data1\accounting\FP&amp;A\Budget\FY18\Department%20Templates\SG&amp;A\5.%20%20Accounting%20and%20Finance\HFM\FY18%20Budget%20Template%20-%20A%20&amp;%20F%20-%20Live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5\d\1.&#20104;&#31639;G\B.01&#19978;&#20104;&#31639;&#32232;&#25104;\E.&#21336;&#29420;&#21407;&#26696;\&#12501;&#12457;&#12540;&#12510;&#12483;&#12488;\&#21336;&#29420;&#65420;&#65387;&#65392;&#65423;&#65391;&#6541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mbmd\drv-f$\yosan\&#20107;&#26989;&#20225;&#30011;&#37096;&#20849;&#36890;\&#26481;&#20140;&#20107;&#21209;&#25152;\2013&#24180;&#24230;&#24180;&#38291;&#20104;&#31639;&#65286;&#20013;&#35336;\&#22770;&#19978;&#20104;&#31639;\&#65288;90%207-TWN2&#20740;&#20870;&#65289;FY13-15&#8810;&#26126;&#32048;_&#12479;&#12531;&#12479;&#12523;&#8811;(wk04)_&#38598;&#35336;&#36861;&#2115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@su-ji/NSG-100006%20ver%2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98a\prod_eng\Sujitra\Master%20spec%20of%20NR,SVS,ESV%20and%20SVZ%20series(Down%20steam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DOCUME~1/h-ueda/LOCALS~1/Temp/notesE8DBF2/Kunisada/012HActual/01BUDGET/&#19978;&#26399;&#26989;&#32318;&#36039;&#2600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Prod_Eng/Wirut-S/Wirut/Document/NSG/SILCOA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PensionPlan_&amp;_LongServiceCompensation\&#9632;Coversheet%20201503%20Pension%20Plan_with%20Name%20(150209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1\Data1\accounting\FP&amp;A\CFO%20Meeting\FY13-08-Nov-CFO%20Review%20Schedule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MBMD\drv-f$\20060313&#20986;&#24373;&#29992;\My%20Documents\01BUDGET\&#19978;&#26399;&#26989;&#32318;&#36039;&#2600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mbmd\drv-f$\R&amp;QC_Eng\Saowanee\Other\COST%20RED\Query\Query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g02\01&#32076;&#21942;&#31649;&#29702;\DOCUME~1\HIROSHI\LOCALS~1\Temp\B2Temp\Attach\&#65288;3Q&#35430;&#31639;&#29992;&#65289;&#65297;&#65303;&#19979;%20&#21407;&#2404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mbmd\drv-f$\UPDATE%20DEC%2029'04\FA_Eng\%23ACC-E%20I\2004\JUN%20'04\EI-D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98A\Users_(New)\UPDATE%20DEC%2029'04\FA_Eng\Rojana\Trouble%20&amp;%20Repair%20report%20machine\2004\Sep%20'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FA_Eng/#ACC-E I\2004\JUN '04\EI-D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5\d\&#20491;&#20154;&#29992;\&#32291;&#29992;\JSJB\&#26032;&#27096;&#24335;\JSJB9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5\d\01&#24180;&#38291;&#20104;&#31639;\&#21336;&#29420;&#65420;&#65387;&#65392;&#65423;&#65391;&#65412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jnas\it&#25945;&#32946;\DOCUME~1\KA_ABE~1.KYO\LOCALS~1\Temp\B2Temp\Attach\1.&#20104;&#31639;G\2000&#19979;&#20104;&#31639;&#32232;&#25104;\&#65313;&#27096;&#24335;\&#65398;&#65437;&#65418;&#65439;&#65414;&#65313;&#27096;&#24335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g02\01&#32076;&#21942;&#31649;&#29702;\2006.11&#65374;&#28580;&#30000;\1.&#26989;&#32318;\2008-1H\&#20104;&#31639;2008-FY\&#35576;&#36039;&#28304;&#35336;&#30011;\08-FY&#32076;&#36027;&#20104;&#31639;rev3&#65288;&#26368;&#32066;&#6528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jnas\it&#25945;&#32946;\DOCUME~1\KA_ABE~1.KYO\LOCALS~1\Temp\B2Temp\Attach\&#20234;&#34276;\&#36899;&#32080;&#36039;&#26009;\H15&#19979;\&#26842;&#21368;\&#65297;&#65301;&#19979;&#29983;&#29987;&#20250;&#31038;&#26842;&#21368;&#35211;&#36796;&#65288;H16.4&#12288;&#20107;&#26989;&#37096;&#22577;&#21578;&#6528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gai-lanhd\watanabe\&#9733;&#20104;&#31639;+&#20013;&#35336;&#32232;&#25104;\08%202009&#24180;&#19979;&#26399;%20(&#20104;&#31639;+09-11&#20013;&#35336;&#9313;)\29%209&#26376;11&#26085;%203&#27425;&#26126;&#32048;&#9733;&#65288;&#26368;&#32066;&#26126;&#32048;&#65289;&#22238;&#21454;\09&#19979;&#20104;&#31639;&#65286;&#20013;&#35336;&#22770;&#19978;&#65288;&#26126;&#32048;&#65299;&#65289;090910-DI&#20104;&#31639;&#23550;&#24540;&#2925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gai-lanhd\6_datag_only\&#9734;&#20250;&#35696;&#36039;&#26009;\20110928Landing\9&#26376;Landing&#20250;&#35696;&#29992;&#21463;&#27880;&#12539;&#22770;&#19978;&#35211;&#36796;FILE20110930-&#36009;&#20108;&#26412;rev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gai-lanhd\watanabe\&#9733;&#20104;&#31639;+&#20013;&#35336;&#32232;&#25104;\08%202009&#24180;&#19979;&#26399;%20(&#20104;&#31639;+09-11&#20013;&#35336;&#9313;)\29%209&#26376;11&#26085;%203&#27425;&#26126;&#32048;&#9733;&#65288;&#26368;&#32066;&#26126;&#32048;&#65289;&#22238;&#21454;\09&#19979;&#20104;&#31639;&#65286;&#20013;&#35336;&#22770;&#19978;&#65288;&#26126;&#32048;&#65299;&#65289;090912-DI&#20104;&#31639;&#23550;&#24540;&#29256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g02\01&#32076;&#21942;&#31649;&#29702;\030&#35336;&#30011;\&#23455;&#32318;\&#36890;&#26399;\&#32076;&#36027;\07-2H&#32076;&#36027;&#23455;&#32318;&#65288;10&#26376;&#23455;&#32318;&#26356;&#26032;&#28168;&#12415;&#65289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g02\01&#32076;&#21942;&#31649;&#29702;\030&#35336;&#30011;\&#20104;&#31639;\2007&#19979;&#26399;&#23455;&#34892;&#20104;&#31639;\1&#21336;&#29420;\07-2H&#32076;&#36027;&#20104;&#31639;(10.15&#26368;&#32066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ommon%20File%20for%20Presentation%20%20%20(&#3627;&#3657;&#3634;&#3617;&#3621;&#3610;)\Yield%20Presentation%20Material\NTETWG%20Yield%20n%20Input%20History%20(Use%20this%20file%20start%204-Apr-19)%20Revise%20formula-Add%20B10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0_Cost%20Item\Y-2024%20Yageo\CY24%20Set%20Up%20%5bLalida%5d\0_Compare%20base%20yield%20vs%20change%20in%20oracle%20CY23-ABB%20CY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w"/>
      <sheetName val="before"/>
      <sheetName val="CHART"/>
      <sheetName val="様式１"/>
      <sheetName val="专用术语"/>
      <sheetName val="RecordData"/>
      <sheetName val="FA-LISTING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コード表"/>
      <sheetName val="変更依頼書"/>
      <sheetName val="Lookup values"/>
      <sheetName val="（プルダウンメニュー参照値）"/>
      <sheetName val="SC"/>
      <sheetName val="Produc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荷前回差"/>
      <sheetName val="出荷"/>
      <sheetName val="数量"/>
      <sheetName val="金額"/>
      <sheetName val="Sheet2"/>
      <sheetName val="基地別生産計画"/>
      <sheetName val="呉江製品データ"/>
      <sheetName val="Sheet1"/>
      <sheetName val="Inship売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05"/>
      <sheetName val="Improve"/>
      <sheetName val="Item def"/>
      <sheetName val="App"/>
      <sheetName val="EI"/>
      <sheetName val="Inproc"/>
      <sheetName val="raw J1"/>
      <sheetName val="Format J1"/>
      <sheetName val="data J1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  <sheetName val="Query1"/>
    </sheetNames>
    <sheetDataSet>
      <sheetData sheetId="0" refreshError="1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説明書"/>
      <sheetName val="日付"/>
      <sheetName val="Sheet1"/>
      <sheetName val="予算"/>
      <sheetName val="Ｈ０４"/>
      <sheetName val="転記"/>
      <sheetName val="累計実績"/>
      <sheetName val="ＢＳ月"/>
      <sheetName val="ＢＳ期"/>
      <sheetName val="ＢＳ月役"/>
      <sheetName val="ＢＳ期役"/>
      <sheetName val="ＰＬ"/>
      <sheetName val="ＰＬ上期"/>
      <sheetName val="ＰＬ期"/>
      <sheetName val="貸借対照表"/>
      <sheetName val="損益計算書"/>
      <sheetName val="利益処分"/>
      <sheetName val="Module1"/>
      <sheetName val="Module3"/>
      <sheetName val="Module2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生産数"/>
      <sheetName val="原価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4Test5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machine list"/>
      <sheetName val="Ta-wire"/>
      <sheetName val="ตู้อบ Clean"/>
      <sheetName val="Auto cleaning"/>
      <sheetName val="Changed die (LF stamping)"/>
      <sheetName val="LF Stamping"/>
      <sheetName val="AL holder"/>
      <sheetName val="Semi auto pellet"/>
      <sheetName val="K-resin coating "/>
      <sheetName val="K-resin baking furnace"/>
      <sheetName val="Lead frame furnace "/>
      <sheetName val="Pellet saparator "/>
      <sheetName val="CV check"/>
      <sheetName val="CV Measuring"/>
      <sheetName val="Drying chamber"/>
      <sheetName val="Dust collector"/>
      <sheetName val="Sintering "/>
      <sheetName val="Pressing"/>
      <sheetName val="Batch cleaning"/>
      <sheetName val="Disslove"/>
      <sheetName val="Anodization &amp; Power supply"/>
      <sheetName val="A-Anodization bath"/>
      <sheetName val="Pure water cleaning "/>
      <sheetName val="MnO2 dipping"/>
      <sheetName val="Graphite bath"/>
      <sheetName val="Preheating furnace"/>
      <sheetName val="Drying furnace"/>
      <sheetName val="Silver dipping"/>
      <sheetName val="Compound &amp; Silver dipping"/>
      <sheetName val="Check-I (LC, CD Measuring)"/>
      <sheetName val="Ball mill"/>
      <sheetName val="Dry formation "/>
      <sheetName val="Wet formation"/>
      <sheetName val="Air blow"/>
      <sheetName val="Re-Anodization bath "/>
      <sheetName val="Neo"/>
      <sheetName val="Mixing tank"/>
      <sheetName val="Mixing hood"/>
      <sheetName val="Anneal "/>
      <sheetName val="Notching"/>
      <sheetName val="Welding &amp; Conductive glue injec"/>
      <sheetName val="Conductive glue baking furnace"/>
      <sheetName val="Scrapper"/>
      <sheetName val="Resin coating"/>
      <sheetName val="W2 coating "/>
      <sheetName val="ตู้ Oven, Resin &amp; W2 furnace"/>
      <sheetName val="Taping"/>
      <sheetName val="Visual"/>
      <sheetName val="Stick"/>
      <sheetName val="Hot kiss"/>
      <sheetName val="Developer"/>
      <sheetName val="X-Ray"/>
      <sheetName val="Final-I (LC, C, D Measuring)"/>
      <sheetName val="Lead frame array"/>
      <sheetName val="Open checker"/>
      <sheetName val="Check 100%"/>
      <sheetName val="Reseal"/>
      <sheetName val="E-I"/>
      <sheetName val="LOW BIAS"/>
      <sheetName val="LOW ESR"/>
      <sheetName val="ESR Measuring"/>
      <sheetName val="Pulse &amp; Charger &amp; Semi-Auto"/>
      <sheetName val="LC, CD Measuring"/>
      <sheetName val="LC Measuring &amp; Shot check"/>
      <sheetName val="Aging"/>
      <sheetName val="Solder dipping"/>
      <sheetName val="Forming"/>
      <sheetName val="Cutting frame array"/>
      <sheetName val="Tie bar cutting"/>
      <sheetName val="Molding "/>
      <sheetName val="IR-Reflow"/>
      <sheetName val="UV-IR Reflow"/>
      <sheetName val="Air Reflow"/>
      <sheetName val="Deflashing"/>
      <sheetName val="Preheater "/>
      <sheetName val="Marking"/>
      <sheetName val="M-Treatment"/>
      <sheetName val=""/>
      <sheetName val="InputPane"/>
      <sheetName val="DataGraph"/>
      <sheetName val="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sion Allowance Dec'15"/>
      <sheetName val="Allowance for Pension Plan"/>
      <sheetName val="&quot;COGS-SGA by Section&quot;"/>
      <sheetName val="&quot;Object Non-object by Position&quot;"/>
      <sheetName val="&quot;Probablity&quot;"/>
      <sheetName val="pivot"/>
      <sheetName val="Sheet1"/>
      <sheetName val="DATA JAN.4,2016"/>
      <sheetName val="PVDF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N QYT"/>
      <sheetName val="TEMP"/>
      <sheetName val="MASTER"/>
      <sheetName val="Result"/>
      <sheetName val="Result (2)"/>
      <sheetName val="TITLE"/>
      <sheetName val="CONTENT"/>
      <sheetName val="Page 16 to 48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sult"/>
      <sheetName val="NIS-41XXXX"/>
      <sheetName val="NIS Master"/>
      <sheetName val="SILCOAT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パターン"/>
      <sheetName val="ﾍﾟﾚｯﾄ"/>
      <sheetName val="直材・間材"/>
      <sheetName val="購半費"/>
      <sheetName val="#REF"/>
      <sheetName val="実際"/>
      <sheetName val="目標"/>
      <sheetName val="売価"/>
      <sheetName val="00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結レート表"/>
      <sheetName val="社内レート"/>
      <sheetName val="参考レート"/>
      <sheetName val="実勢レート"/>
      <sheetName val="12.09"/>
      <sheetName val="12.08"/>
      <sheetName val="12.07"/>
      <sheetName val="12.06"/>
      <sheetName val="12.05"/>
      <sheetName val="12.04"/>
      <sheetName val="12.03"/>
      <sheetName val="12.02"/>
      <sheetName val="12.01"/>
      <sheetName val="11.12"/>
      <sheetName val="11.11"/>
      <sheetName val="11.10"/>
      <sheetName val="11.09"/>
      <sheetName val="11.08"/>
      <sheetName val="11.07"/>
      <sheetName val="11.06"/>
      <sheetName val="11.05"/>
      <sheetName val="11.04"/>
      <sheetName val="11.03"/>
      <sheetName val="11.02"/>
      <sheetName val="11.01"/>
      <sheetName val="10.12"/>
      <sheetName val="10.11"/>
      <sheetName val="10.10"/>
      <sheetName val="10.09"/>
      <sheetName val="10.08"/>
      <sheetName val="10.07"/>
      <sheetName val="10.06"/>
      <sheetName val="10.05"/>
      <sheetName val="10.04"/>
      <sheetName val="★原紙 "/>
      <sheetName val="Bank Holi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wance for Pension Plan"/>
      <sheetName val="Table"/>
      <sheetName val="Data"/>
      <sheetName val="BIBOR"/>
      <sheetName val="Resigned"/>
      <sheetName val="Employee_Basic_Data"/>
      <sheetName val="&quot;Object Non-object by Position&quot;"/>
      <sheetName val="&quot;COGS-SGA by Section&quot;"/>
      <sheetName val="&quot;Probablity&quo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04-09"/>
      <sheetName val="2130100GeneralLedger20150211"/>
      <sheetName val="DEC2014 Bonus"/>
      <sheetName val="201501Ta SC Allocation"/>
      <sheetName val="Thai Bonus pivot"/>
      <sheetName val="Data-Jan,2015."/>
      <sheetName val="JP Staff  2014"/>
      <sheetName val="&quot;COGS-SGA by Section&quo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LC last year"/>
      <sheetName val="USD last year"/>
      <sheetName val="LC"/>
      <sheetName val="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Tables"/>
      <sheetName val="FX"/>
      <sheetName val="DeptList"/>
      <sheetName val="Budget Template"/>
      <sheetName val="FIN0334-KEC_Other"/>
      <sheetName val="FIN0360-Kc"/>
      <sheetName val="FIN0360-KEC_Other"/>
      <sheetName val="FIN0383-KEC_Other"/>
      <sheetName val="FIN2334-Evora"/>
      <sheetName val="FIN2334-France"/>
      <sheetName val="FIN2334-Switz"/>
      <sheetName val="FIN3334-ER_Pte"/>
      <sheetName val="FIN3334-Keap"/>
      <sheetName val="FIN3334-Kems_other"/>
      <sheetName val="FIN6110-Evora"/>
      <sheetName val="FIN7335-Helsink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ﾒﾓ"/>
      <sheetName val="入力前提"/>
      <sheetName val="単独構造表"/>
      <sheetName val="連結構造表"/>
      <sheetName val="総括"/>
      <sheetName val="出荷高"/>
      <sheetName val="損益表"/>
      <sheetName val="貸借表"/>
      <sheetName val="効率・資材費"/>
      <sheetName val="投入ﾁｪｯｸ"/>
      <sheetName val="ﾘｿｰｽ計画"/>
      <sheetName val="ＥＱ内訳"/>
      <sheetName val="上損益見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（0）このFileの説明"/>
      <sheetName val="ケース別Pivot (確度込み)"/>
      <sheetName val="ケース別Pivot"/>
      <sheetName val="分野別売上pivot"/>
      <sheetName val="確度別pivot"/>
      <sheetName val="①入力Sheet"/>
      <sheetName val="①入力Sheet (追記)"/>
      <sheetName val="Qty(C)"/>
      <sheetName val="Amt(C)"/>
      <sheetName val="Amt(Inship)"/>
      <sheetName val="Qty(S)"/>
      <sheetName val="Amt(S)"/>
      <sheetName val="Qty(T)"/>
      <sheetName val="Amt(T)"/>
      <sheetName val="Amt(S) (2)"/>
      <sheetName val="②→pivot（必須）"/>
      <sheetName val="③code変換（必須)"/>
      <sheetName val="LG追加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1"/>
      <sheetName val="Content2"/>
      <sheetName val="Content2.1"/>
      <sheetName val="Content2.1.1"/>
      <sheetName val="Content2.1.2"/>
      <sheetName val="Content2.1.3"/>
      <sheetName val="Content2.1.4"/>
      <sheetName val="Content2.1.5"/>
      <sheetName val="1"/>
      <sheetName val="1.1"/>
      <sheetName val="1.2"/>
      <sheetName val="1.3"/>
      <sheetName val="1.4"/>
      <sheetName val="2"/>
      <sheetName val="2.1"/>
      <sheetName val="3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4"/>
      <sheetName val="4.1"/>
      <sheetName val="5"/>
      <sheetName val="5.1"/>
      <sheetName val="5.2"/>
      <sheetName val="5.3"/>
      <sheetName val="6"/>
      <sheetName val="7"/>
      <sheetName val="8"/>
      <sheetName val="9"/>
      <sheetName val="9.1"/>
      <sheetName val="10"/>
      <sheetName val="10.1"/>
      <sheetName val="10.2"/>
      <sheetName val="10.3"/>
      <sheetName val="10.4"/>
      <sheetName val="10.5"/>
      <sheetName val="11"/>
      <sheetName val="11.1"/>
      <sheetName val="11.2"/>
      <sheetName val="11.3"/>
      <sheetName val="11.4"/>
      <sheetName val="11.5"/>
      <sheetName val="11.6"/>
      <sheetName val="11.7"/>
      <sheetName val="11.8"/>
      <sheetName val="12"/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3"/>
      <sheetName val="13.1"/>
      <sheetName val="14"/>
      <sheetName val="14.1"/>
      <sheetName val="15"/>
      <sheetName val="15.1"/>
      <sheetName val="15.2"/>
      <sheetName val="16.1"/>
      <sheetName val="16"/>
      <sheetName val="16.2"/>
      <sheetName val="17"/>
      <sheetName val="17.1"/>
      <sheetName val="17.2"/>
      <sheetName val="17.3"/>
      <sheetName val="17.4"/>
      <sheetName val="17.5"/>
      <sheetName val="18"/>
      <sheetName val="18.1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"/>
      <sheetName val="Data"/>
      <sheetName val="Result"/>
      <sheetName val="CONTENT2"/>
      <sheetName val="Appendix(Old)"/>
      <sheetName val="Appendix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上期差異"/>
      <sheetName val="9月差異"/>
      <sheetName val="生産数"/>
      <sheetName val="Sheet9"/>
      <sheetName val="Sheet3"/>
      <sheetName val="Sheet4"/>
      <sheetName val="償却計算"/>
      <sheetName val="出荷"/>
      <sheetName val="Sheet2"/>
      <sheetName val="原価"/>
      <sheetName val="人員1"/>
      <sheetName val="人員２"/>
      <sheetName val="固定資産"/>
      <sheetName val="資材単価"/>
      <sheetName val="資材費"/>
      <sheetName val="WIP"/>
      <sheetName val="評価替"/>
      <sheetName val="A-P"/>
      <sheetName val="ACC. PAY"/>
      <sheetName val="Sheet1"/>
      <sheetName val="Sheet7"/>
      <sheetName val="投資計画"/>
      <sheetName val="金利"/>
      <sheetName val="ﾚｰﾄ評価替"/>
      <sheetName val="ACCRUDE"/>
      <sheetName val="Sheet5"/>
      <sheetName val="Sheet8"/>
      <sheetName val="Sheet6"/>
      <sheetName val="Sheet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COAT"/>
      <sheetName val="2"/>
    </sheetNames>
    <sheetDataSet>
      <sheetData sheetId="0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'15"/>
      <sheetName val="Allowance for Pension Plan"/>
      <sheetName val="&quot;COGS-SGA by Section&quot;"/>
      <sheetName val="&quot;Object Non-object by Position&quot;"/>
      <sheetName val="&quot;Probablity&quot;"/>
      <sheetName val="Pivot"/>
      <sheetName val="Sheet1"/>
      <sheetName val="Data-Jan,2015."/>
      <sheetName val="PVD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 and Validations"/>
      <sheetName val="Unusual"/>
      <sheetName val="BS"/>
      <sheetName val="Inventory"/>
      <sheetName val="SGA by function"/>
      <sheetName val="SGA by category"/>
      <sheetName val="OE-OI"/>
      <sheetName val="Forecast"/>
      <sheetName val="Budget"/>
      <sheetName val="GAAP vs Non-GAAP"/>
      <sheetName val="Flash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上期差異"/>
      <sheetName val="9月差異"/>
      <sheetName val="生産数"/>
      <sheetName val="Sheet9"/>
      <sheetName val="Sheet3"/>
      <sheetName val="Sheet4"/>
      <sheetName val="償却計算"/>
      <sheetName val="出荷"/>
      <sheetName val="Sheet2"/>
      <sheetName val="原価"/>
      <sheetName val="人員1"/>
      <sheetName val="人員２"/>
      <sheetName val="固定資産"/>
      <sheetName val="資材単価"/>
      <sheetName val="資材費"/>
      <sheetName val="WIP"/>
      <sheetName val="評価替"/>
      <sheetName val="A-P"/>
      <sheetName val="ACC. PAY"/>
      <sheetName val="Sheet1"/>
      <sheetName val="Sheet7"/>
      <sheetName val="投資計画"/>
      <sheetName val="金利"/>
      <sheetName val="ﾚｰﾄ評価替"/>
      <sheetName val="ACCRUDE"/>
      <sheetName val="Sheet5"/>
      <sheetName val="Sheet8"/>
      <sheetName val="Sheet6"/>
      <sheetName val="Sheet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2"/>
      <sheetName val="Query3"/>
    </sheetNames>
    <sheetDataSet>
      <sheetData sheetId="0"/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前繰原差"/>
      <sheetName val="期首評価替差"/>
      <sheetName val="入力用"/>
      <sheetName val="残高"/>
      <sheetName val="基礎①（月・決）"/>
      <sheetName val="基礎②（月・決）"/>
      <sheetName val="基礎③（月）"/>
      <sheetName val="基礎④（月）"/>
      <sheetName val="集計・仕訳"/>
      <sheetName val="原差調整計算書"/>
      <sheetName val="原差調整計算書 (1)"/>
      <sheetName val="その他仕掛原差配賦表"/>
      <sheetName val="振替率"/>
      <sheetName val="売上・原価・率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machine list"/>
      <sheetName val="Ta-wire"/>
      <sheetName val="ตู้อบ Clean"/>
      <sheetName val="Auto cleaning"/>
      <sheetName val="Change die LF Stamping"/>
      <sheetName val="LF Stamping"/>
      <sheetName val="Al holder"/>
      <sheetName val="Semi auto pellet"/>
      <sheetName val="K-resin baking furnace"/>
      <sheetName val="Lead frame furnace "/>
      <sheetName val="Pellet saparator "/>
      <sheetName val="CV check"/>
      <sheetName val="CV Measuring"/>
      <sheetName val="Drying chamber"/>
      <sheetName val="Dust collector"/>
      <sheetName val="Sintering "/>
      <sheetName val="Pressing"/>
      <sheetName val="K-resin coating "/>
      <sheetName val="Batch cleaning"/>
      <sheetName val="Disslove"/>
      <sheetName val="Anodization &amp; Power supply"/>
      <sheetName val="A-Anodization bath"/>
      <sheetName val="Pure water cleaning "/>
      <sheetName val="MnO2 dipping"/>
      <sheetName val="Graphite bath"/>
      <sheetName val="Preheating furnace"/>
      <sheetName val="Drying furnace"/>
      <sheetName val="Silver dipping"/>
      <sheetName val="Compound bath"/>
      <sheetName val="Check-I (LC, CD Measuring)"/>
      <sheetName val="Ball mill"/>
      <sheetName val="Dry formation "/>
      <sheetName val="Wet formation"/>
      <sheetName val="Air blow"/>
      <sheetName val="Re-Anodization bath "/>
      <sheetName val="Neo"/>
      <sheetName val="Mixing tank"/>
      <sheetName val="Mixing hood"/>
      <sheetName val="Anneal "/>
      <sheetName val="Notching"/>
      <sheetName val="Welding &amp; Conductive glue injec"/>
      <sheetName val="Conductive glue baking furnace"/>
      <sheetName val="Scraper"/>
      <sheetName val="Resin coating"/>
      <sheetName val="W2 coating "/>
      <sheetName val="ตู้ Oven, Resin &amp; W2 furnace"/>
      <sheetName val="Taping"/>
      <sheetName val="Visual"/>
      <sheetName val="Stick"/>
      <sheetName val="Hot kiss"/>
      <sheetName val="Developer"/>
      <sheetName val="X-Ray"/>
      <sheetName val="Final-I (LC, C, D Measuring)"/>
      <sheetName val="Lead frame array"/>
      <sheetName val="Open checker"/>
      <sheetName val="Check 100%"/>
      <sheetName val="Reseal"/>
      <sheetName val="Pick &amp; Press (Face Down)"/>
      <sheetName val="Dicing (Face Down)"/>
      <sheetName val="E-I"/>
      <sheetName val="LOW BIAS"/>
      <sheetName val="LOW ESR"/>
      <sheetName val="ESR Measuring"/>
      <sheetName val="Pulse &amp; Charger &amp; Semi-Auto"/>
      <sheetName val="LC, CD Measuring"/>
      <sheetName val="LC Measuring &amp; Shot check"/>
      <sheetName val="Aging"/>
      <sheetName val="Solder dipping"/>
      <sheetName val="Forming"/>
      <sheetName val="Cutting frame array"/>
      <sheetName val="Tie bar cutting"/>
      <sheetName val="Molding "/>
      <sheetName val="IR, UV-IR Reflow"/>
      <sheetName val="Air Reflow"/>
      <sheetName val="Deflashing"/>
      <sheetName val="Preheater "/>
      <sheetName val="Marking"/>
      <sheetName val="M-Treat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算読込処理"/>
      <sheetName val="実績読込処理"/>
      <sheetName val="JB1"/>
      <sheetName val="JB2"/>
      <sheetName val="TABLE J"/>
      <sheetName val="予算"/>
      <sheetName val="実績"/>
      <sheetName val="リスト"/>
      <sheetName val="様式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ﾒﾓ"/>
      <sheetName val="入力前提"/>
      <sheetName val="単独構造表"/>
      <sheetName val="連結構造表"/>
      <sheetName val="総括"/>
      <sheetName val="出荷高"/>
      <sheetName val="損益表"/>
      <sheetName val="貸借表"/>
      <sheetName val="効率・資材費"/>
      <sheetName val="投入ﾁｪｯｸ"/>
      <sheetName val="ﾘｿｰｽ計画"/>
      <sheetName val="ＥＱ内訳"/>
      <sheetName val="上損益見込"/>
      <sheetName val="依頼文"/>
      <sheetName val="ページ"/>
      <sheetName val="ﾚｰﾄ"/>
      <sheetName val="暫定ﾚｰﾄ"/>
      <sheetName val="費用構造定義"/>
      <sheetName val="１"/>
      <sheetName val="２"/>
      <sheetName val="３"/>
      <sheetName val="４－１"/>
      <sheetName val="４－２"/>
      <sheetName val="４－３"/>
      <sheetName val="５－１・２"/>
      <sheetName val="６"/>
      <sheetName val="７"/>
      <sheetName val="８"/>
      <sheetName val="９"/>
      <sheetName val="１０"/>
      <sheetName val="１１"/>
      <sheetName val="１２"/>
      <sheetName val="１３"/>
      <sheetName val="１４"/>
      <sheetName val="１５"/>
      <sheetName val="棚卸"/>
      <sheetName val="TABLE 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予算"/>
      <sheetName val="経費予算"/>
      <sheetName val="Module1"/>
      <sheetName val="Module2"/>
      <sheetName val="Module3"/>
      <sheetName val="Module4"/>
      <sheetName val="Module5"/>
      <sheetName val="Module6"/>
      <sheetName val="選択リスト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■Ｆｉｌｅ構成"/>
      <sheetName val="■マスタ⇒"/>
      <sheetName val="原価ＣＤ－ＤＬ"/>
      <sheetName val="部門ＭＳＴ"/>
      <sheetName val="集計ＭＳＴ"/>
      <sheetName val="品目ＭＳＴ"/>
      <sheetName val="■事業部合計⇒"/>
      <sheetName val="□Total.1(電池事)"/>
      <sheetName val="明細（予算）"/>
      <sheetName val="部門費削減"/>
      <sheetName val="支援費用"/>
      <sheetName val="部門費控除"/>
      <sheetName val="■電池事業部計（部門合計）"/>
      <sheetName val="-Tally.01"/>
      <sheetName val="-Tally.02"/>
      <sheetName val="-Tally.02-1"/>
      <sheetName val="-Tally.02-2"/>
      <sheetName val="-Tally.03"/>
      <sheetName val="事業部St→"/>
      <sheetName val="3710"/>
      <sheetName val="3719"/>
      <sheetName val="01St→"/>
      <sheetName val="3729"/>
      <sheetName val="3730"/>
      <sheetName val="←01Ed"/>
      <sheetName val="02St→"/>
      <sheetName val="3741"/>
      <sheetName val="02-1St→"/>
      <sheetName val="3742"/>
      <sheetName val="3743"/>
      <sheetName val="3744"/>
      <sheetName val="←02-1Ed"/>
      <sheetName val="02-2St→"/>
      <sheetName val="3746"/>
      <sheetName val="3748"/>
      <sheetName val="3749"/>
      <sheetName val="←02-2Ed"/>
      <sheetName val="←02Ed"/>
      <sheetName val="03St→"/>
      <sheetName val="3759"/>
      <sheetName val="3761"/>
      <sheetName val="3763"/>
      <sheetName val="3764"/>
      <sheetName val="3739"/>
      <sheetName val="←03Ed"/>
      <sheetName val="06St→"/>
      <sheetName val="3781"/>
      <sheetName val="3782"/>
      <sheetName val="3785"/>
      <sheetName val="3786"/>
      <sheetName val="3787"/>
      <sheetName val="3788"/>
      <sheetName val="9925"/>
      <sheetName val="9120"/>
      <sheetName val="9679"/>
      <sheetName val="S069"/>
      <sheetName val="←06Ed"/>
      <sheetName val="廃止St→"/>
      <sheetName val="3747"/>
      <sheetName val="3750"/>
      <sheetName val="←廃止Ed"/>
      <sheetName val="ラミ移管St→"/>
      <sheetName val="3762"/>
      <sheetName val="3789"/>
      <sheetName val="S077"/>
      <sheetName val="←ラミ移管Ed"/>
      <sheetName val="←事業部Ed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本部"/>
      <sheetName val="磁性事業部"/>
      <sheetName val="圧電事業部"/>
      <sheetName val="事外（装置）"/>
      <sheetName val="NTEX"/>
      <sheetName val="NTTE"/>
      <sheetName val="NTEV"/>
      <sheetName val="北光"/>
      <sheetName val="TMAC"/>
      <sheetName val="TEE"/>
      <sheetName val="NTC"/>
      <sheetName val="販社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明細"/>
      <sheetName val="ぴぼっと"/>
    </sheetNames>
    <sheetDataSet>
      <sheetData sheetId="0" refreshError="1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→9月受注進捗"/>
      <sheetName val="→9月売上進捗"/>
      <sheetName val="受注入力ｼｰﾄ"/>
      <sheetName val="受注ﾏﾄﾘｯｸｽ(販二本のみ)"/>
      <sheetName val="→9月受注ｺﾒﾝﾄ入力"/>
      <sheetName val="売上入力ｼｰﾄ"/>
      <sheetName val="９月売上見込sum(pivot)"/>
      <sheetName val="→9月売上ｺﾒﾝﾄ入力"/>
      <sheetName val="売上ﾏﾄﾘｯｸｽ"/>
      <sheetName val="変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ﾘｽﾄ"/>
      <sheetName val="明細"/>
      <sheetName val="ぴぼっと"/>
    </sheetNames>
    <sheetDataSet>
      <sheetData sheetId="0" refreshError="1"/>
      <sheetData sheetId="1"/>
      <sheetData sheetId="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■マスタ⇒"/>
      <sheetName val="原価ＣＤ－ＤＬ"/>
      <sheetName val="部門ＭＳＴ"/>
      <sheetName val="集計ＭＳＴ"/>
      <sheetName val="勘定ＭＳＴ"/>
      <sheetName val="品目ＭＳＴ"/>
      <sheetName val="■明細⇒"/>
      <sheetName val="明細（予算）"/>
      <sheetName val="明細（実績）"/>
      <sheetName val="明細（速報）"/>
      <sheetName val="明細①"/>
      <sheetName val="■事業部管理⇒"/>
      <sheetName val="□□Total(電池事+ラミ推+事業所)"/>
      <sheetName val="□Total.1(電池事)"/>
      <sheetName val="□Total.2(ラミ推)"/>
      <sheetName val="□Total.3(事業所)"/>
      <sheetName val="■確認"/>
      <sheetName val="■部門費管理⇒"/>
      <sheetName val="管理可能費"/>
      <sheetName val="支援費用"/>
      <sheetName val="部門費月次配布"/>
      <sheetName val="前期実績（部別）"/>
      <sheetName val="□電池事業部計（部門合計）"/>
      <sheetName val="-Tally.01"/>
      <sheetName val="-Tally.02"/>
      <sheetName val="-Tally.03"/>
      <sheetName val="-Tally.04"/>
      <sheetName val="事業部St→"/>
      <sheetName val="3710"/>
      <sheetName val="3719"/>
      <sheetName val="01St→"/>
      <sheetName val="3729"/>
      <sheetName val="3730"/>
      <sheetName val="←01Ed"/>
      <sheetName val="3739"/>
      <sheetName val="3741"/>
      <sheetName val="3742"/>
      <sheetName val="02St→"/>
      <sheetName val="3743"/>
      <sheetName val="3744"/>
      <sheetName val="←02Ed"/>
      <sheetName val="03St→"/>
      <sheetName val="3746"/>
      <sheetName val="3748"/>
      <sheetName val="3749"/>
      <sheetName val="←03Ed"/>
      <sheetName val="04St→"/>
      <sheetName val="3747"/>
      <sheetName val="3750"/>
      <sheetName val="←04Ed"/>
      <sheetName val="3759"/>
      <sheetName val="3761"/>
      <sheetName val="3762"/>
      <sheetName val="3781"/>
      <sheetName val="3782"/>
      <sheetName val="3785"/>
      <sheetName val="3786"/>
      <sheetName val="3787"/>
      <sheetName val="3789"/>
      <sheetName val="3788"/>
      <sheetName val="9120"/>
      <sheetName val="9679"/>
      <sheetName val="S026"/>
      <sheetName val="S069"/>
      <sheetName val="S077"/>
      <sheetName val="←事業部Ed"/>
      <sheetName val="□ラミ推（従来電池事合計）"/>
      <sheetName val="ラミ推Ｓｔ→"/>
      <sheetName val="3771"/>
      <sheetName val="3777"/>
      <sheetName val="3778"/>
      <sheetName val="3846"/>
      <sheetName val="3847"/>
      <sheetName val="3848"/>
      <sheetName val="3865"/>
      <sheetName val="3866"/>
      <sheetName val="廃止済"/>
      <sheetName val="←ラミ推Ｅ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ＣＤ－ＤＬ"/>
      <sheetName val="部門ＭＳＴ"/>
      <sheetName val="集計ＭＳＴ"/>
      <sheetName val="品目ＭＳＴ"/>
      <sheetName val="ダイレクト集計⇒"/>
      <sheetName val="Total.1"/>
      <sheetName val="Sheet1"/>
      <sheetName val="予算明細"/>
      <sheetName val="予算明細 (ラミ推移管分)"/>
      <sheetName val="事業部部門集計⇒"/>
      <sheetName val="Ａ＝Ｂ＋Ｃ①事業部計（従来体系部門合計）"/>
      <sheetName val="Ｂ事業部計（新体系部門合計）"/>
      <sheetName val="Ｃラミ推本計（移管部門①合計）"/>
      <sheetName val="ラミ推本計（移管部門②合計）"/>
      <sheetName val="富山計（部門合計）"/>
      <sheetName val="販売費計（部門合計）"/>
      <sheetName val="St"/>
      <sheetName val="製造St"/>
      <sheetName val="4600,3710"/>
      <sheetName val="4610"/>
      <sheetName val="3719"/>
      <sheetName val="3729"/>
      <sheetName val="3739"/>
      <sheetName val="3743"/>
      <sheetName val="3746"/>
      <sheetName val="3747"/>
      <sheetName val="3759"/>
      <sheetName val="3761"/>
      <sheetName val="3781"/>
      <sheetName val="3782"/>
      <sheetName val="3786"/>
      <sheetName val="3787"/>
      <sheetName val="3788"/>
      <sheetName val="3769"/>
      <sheetName val="ラミ移管Ｓｔ"/>
      <sheetName val="4620"/>
      <sheetName val="3771"/>
      <sheetName val="3779"/>
      <sheetName val="富山Ｓｔ"/>
      <sheetName val="3815"/>
      <sheetName val="3825"/>
      <sheetName val="3845"/>
      <sheetName val="3846"/>
      <sheetName val="3847"/>
      <sheetName val="3867"/>
      <sheetName val="3871"/>
      <sheetName val="3873"/>
      <sheetName val="3885"/>
      <sheetName val="3887"/>
      <sheetName val="ラミ移管②Ｅｄ"/>
      <sheetName val="3865"/>
      <sheetName val="3866"/>
      <sheetName val="富山Ｅｄ"/>
      <sheetName val="ラミ移管①Ｅｄ"/>
      <sheetName val="J700"/>
      <sheetName val="S069"/>
      <sheetName val="S077"/>
      <sheetName val="製造Ed"/>
      <sheetName val="一般St"/>
      <sheetName val="9120"/>
      <sheetName val="一般Ed"/>
      <sheetName val="販売St"/>
      <sheetName val="9679"/>
      <sheetName val="3741"/>
      <sheetName val="3785"/>
      <sheetName val="販売Ed"/>
      <sheetName val="研究St"/>
      <sheetName val="3742"/>
      <sheetName val="研究Ed"/>
      <sheetName val="Ed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2020"/>
      <sheetName val="Detail By case"/>
      <sheetName val="Configuration"/>
      <sheetName val="By Quater"/>
      <sheetName val="By Physical Year"/>
      <sheetName val="Target (from Lalida 6-Apr-20)"/>
      <sheetName val="Target"/>
      <sheetName val="Target CY21"/>
      <sheetName val="PSLB3 by month"/>
      <sheetName val="PSLB3 by part"/>
      <sheetName val="Formular Maker"/>
    </sheetNames>
    <sheetDataSet>
      <sheetData sheetId="0"/>
      <sheetData sheetId="1">
        <row r="6">
          <cell r="BF6">
            <v>87.04</v>
          </cell>
        </row>
        <row r="7">
          <cell r="BF7">
            <v>93.54</v>
          </cell>
        </row>
        <row r="8">
          <cell r="BF8">
            <v>92.96</v>
          </cell>
        </row>
        <row r="9">
          <cell r="BF9">
            <v>81.94</v>
          </cell>
        </row>
        <row r="10">
          <cell r="BF10">
            <v>74.58</v>
          </cell>
        </row>
        <row r="16">
          <cell r="BF16">
            <v>92.66</v>
          </cell>
        </row>
        <row r="17">
          <cell r="BF17">
            <v>93.99</v>
          </cell>
        </row>
        <row r="19">
          <cell r="BF19">
            <v>91.94</v>
          </cell>
        </row>
        <row r="20">
          <cell r="BF20">
            <v>93.9</v>
          </cell>
        </row>
        <row r="23">
          <cell r="BF23">
            <v>91.756182323850226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 Cal Oracle (base) "/>
      <sheetName val="Yield Cal CY24(Lalida-Base)"/>
      <sheetName val="Yield Cal CY24"/>
      <sheetName val="Yield Cal CY24(Ver.1)"/>
      <sheetName val="Yield Cal CY24(Ver.2)"/>
      <sheetName val="Yield Cal CY24(Ver.3)"/>
      <sheetName val="Ta Map CY24"/>
      <sheetName val="CY23"/>
      <sheetName val="SUMMARY"/>
      <sheetName val="Eng Target"/>
    </sheetNames>
    <sheetDataSet>
      <sheetData sheetId="0">
        <row r="2">
          <cell r="D2"/>
          <cell r="E2"/>
        </row>
        <row r="3">
          <cell r="D3" t="str">
            <v>P/N</v>
          </cell>
          <cell r="E3" t="str">
            <v>P/N</v>
          </cell>
        </row>
        <row r="4">
          <cell r="D4" t="str">
            <v>TEFPSA081C226MQHF8R</v>
          </cell>
          <cell r="E4" t="str">
            <v>TEFPSA081C226MQHF8R</v>
          </cell>
        </row>
        <row r="5">
          <cell r="D5"/>
          <cell r="E5"/>
        </row>
        <row r="6">
          <cell r="D6"/>
          <cell r="E6"/>
        </row>
        <row r="7">
          <cell r="D7" t="str">
            <v>TEFPSA21C336M8RKT</v>
          </cell>
          <cell r="E7" t="str">
            <v>TEFPSA21C336M8RKT</v>
          </cell>
        </row>
        <row r="8">
          <cell r="D8" t="str">
            <v>TEFPSA21E106M1508RKT</v>
          </cell>
          <cell r="E8" t="str">
            <v>TEFPSA21E106M1508RKT</v>
          </cell>
        </row>
        <row r="9">
          <cell r="D9" t="str">
            <v>TEFPSA21L566MHF8R</v>
          </cell>
          <cell r="E9" t="str">
            <v>TEFPSA21L566MHF8R</v>
          </cell>
        </row>
        <row r="10">
          <cell r="D10" t="str">
            <v>TEFPSA21L566MPHF8R</v>
          </cell>
          <cell r="E10" t="str">
            <v>TEFPSA21L566MPHF8R</v>
          </cell>
        </row>
        <row r="11">
          <cell r="D11" t="str">
            <v>TEFPSA21N396MHF8R</v>
          </cell>
          <cell r="E11" t="str">
            <v>TEFPSA21N396MHF8R</v>
          </cell>
        </row>
        <row r="12">
          <cell r="D12" t="str">
            <v>TEFPSA30J107M(100)8R</v>
          </cell>
          <cell r="E12" t="str">
            <v>TEFPSA30J107M(100)8R</v>
          </cell>
        </row>
        <row r="13">
          <cell r="D13" t="str">
            <v>TEFPSA30J107M(70)8R</v>
          </cell>
          <cell r="E13" t="str">
            <v>TEFPSA30J107M(70)8R</v>
          </cell>
        </row>
        <row r="14">
          <cell r="D14" t="str">
            <v>TEFPSA30J107M55HF8R</v>
          </cell>
          <cell r="E14" t="str">
            <v>TEFPSA30J107M55HF8R</v>
          </cell>
        </row>
        <row r="15">
          <cell r="D15" t="str">
            <v>TEFPSA30J107M55PHF8R</v>
          </cell>
          <cell r="E15" t="str">
            <v>TEFPSA30J107M55PHF8R</v>
          </cell>
        </row>
        <row r="16">
          <cell r="D16" t="str">
            <v>TEFPSA30J107M708RKT</v>
          </cell>
          <cell r="E16" t="str">
            <v>TEFPSA30J107M708RKT</v>
          </cell>
        </row>
        <row r="17">
          <cell r="D17" t="str">
            <v>TEFPSA30J107M70E8RLG</v>
          </cell>
          <cell r="E17" t="str">
            <v>TEFPSA30J107M70E8RLG</v>
          </cell>
        </row>
        <row r="18">
          <cell r="D18" t="str">
            <v>TEFPSA30J107M8RKT</v>
          </cell>
          <cell r="E18" t="str">
            <v>TEFPSA30J107M8RKT</v>
          </cell>
        </row>
        <row r="19">
          <cell r="D19" t="str">
            <v>TEFPSA30J476M150HF8R</v>
          </cell>
          <cell r="E19" t="str">
            <v>TEFPSA30J476M150HF8R</v>
          </cell>
        </row>
        <row r="20">
          <cell r="D20" t="str">
            <v>TEFPSA30J476M8R</v>
          </cell>
          <cell r="E20" t="str">
            <v>TEFPSA30J476M8R</v>
          </cell>
        </row>
        <row r="21">
          <cell r="D21" t="str">
            <v>TEFPSA30J476M8RKT</v>
          </cell>
          <cell r="E21" t="str">
            <v>TEFPSA30J476M8RKT</v>
          </cell>
        </row>
        <row r="22">
          <cell r="D22" t="str">
            <v>TEFPSA30J476M8RSY</v>
          </cell>
          <cell r="E22" t="str">
            <v>TEFPSA30J476M8RSY</v>
          </cell>
        </row>
        <row r="23">
          <cell r="D23" t="str">
            <v>TEFPSA31A226M8RKT</v>
          </cell>
          <cell r="E23" t="str">
            <v>TEFPSA31A226M8RKT</v>
          </cell>
        </row>
        <row r="24">
          <cell r="D24" t="str">
            <v>TEFPSA31A336M8R</v>
          </cell>
          <cell r="E24" t="str">
            <v>TEFPSA31A336M8R</v>
          </cell>
        </row>
        <row r="25">
          <cell r="D25" t="str">
            <v>TEFPSA31A336M8RKT</v>
          </cell>
          <cell r="E25" t="str">
            <v>TEFPSA31A336M8RKT</v>
          </cell>
        </row>
        <row r="26">
          <cell r="D26" t="str">
            <v>TEFPSA31A336M8RLD</v>
          </cell>
          <cell r="E26" t="str">
            <v>TEFPSA31A336M8RLD</v>
          </cell>
        </row>
        <row r="27">
          <cell r="D27" t="str">
            <v>TEFPSA31A336MHF8R</v>
          </cell>
          <cell r="E27" t="str">
            <v>TEFPSA31A336MHF8R</v>
          </cell>
        </row>
        <row r="28">
          <cell r="D28" t="str">
            <v>TEFPSA31A476M100HF8R</v>
          </cell>
          <cell r="E28" t="str">
            <v>TEFPSA31A476M100HF8R</v>
          </cell>
        </row>
        <row r="29">
          <cell r="D29" t="str">
            <v>TEFPSA31A476M100PHF8R</v>
          </cell>
          <cell r="E29" t="str">
            <v>TEFPSA31A476M100PHF8R</v>
          </cell>
        </row>
        <row r="30">
          <cell r="D30" t="str">
            <v>TEFPSA31A476M8R</v>
          </cell>
          <cell r="E30" t="str">
            <v>TEFPSA31A476M8R</v>
          </cell>
        </row>
        <row r="31">
          <cell r="D31" t="str">
            <v>TEFPSA30J107M1008R</v>
          </cell>
          <cell r="E31" t="str">
            <v>TEFPSA30J107M1008R</v>
          </cell>
        </row>
        <row r="32">
          <cell r="D32" t="str">
            <v>TEFPSA30J107M1008RSY</v>
          </cell>
          <cell r="E32" t="str">
            <v>TEFPSA30J107M1008RSY</v>
          </cell>
        </row>
        <row r="33">
          <cell r="D33" t="str">
            <v>TEFPSA30J107M558R</v>
          </cell>
          <cell r="E33" t="str">
            <v>TEFPSA30J107M558R</v>
          </cell>
        </row>
        <row r="34">
          <cell r="D34" t="str">
            <v>TEFPSA30J107M55RHF8R</v>
          </cell>
          <cell r="E34" t="str">
            <v>TEFPSA30J107M55RHF8R</v>
          </cell>
        </row>
        <row r="35">
          <cell r="D35" t="str">
            <v>TEFPSA30J107M708R</v>
          </cell>
          <cell r="E35" t="str">
            <v>TEFPSA30J107M708R</v>
          </cell>
        </row>
        <row r="36">
          <cell r="D36" t="str">
            <v>TEFPSA30J107M708RS</v>
          </cell>
          <cell r="E36" t="str">
            <v>TEFPSA30J107M708RS</v>
          </cell>
        </row>
        <row r="37">
          <cell r="D37" t="str">
            <v>TEFPSA30J107M708RSY</v>
          </cell>
          <cell r="E37" t="str">
            <v>TEFPSA30J107M708RSY</v>
          </cell>
        </row>
        <row r="38">
          <cell r="D38" t="str">
            <v>TEFPSA30J107M8R</v>
          </cell>
          <cell r="E38" t="str">
            <v>TEFPSA30J107M8R</v>
          </cell>
        </row>
        <row r="39">
          <cell r="D39" t="str">
            <v>TEFPSA31A336M1508R</v>
          </cell>
          <cell r="E39" t="str">
            <v>TEFPSA31A336M1508R</v>
          </cell>
        </row>
        <row r="40">
          <cell r="D40" t="str">
            <v>TEFPSA31A476M8RKT</v>
          </cell>
          <cell r="E40" t="str">
            <v>TEFPSA31A476M8RKT</v>
          </cell>
        </row>
        <row r="41">
          <cell r="D41" t="str">
            <v>TEFPSB101D156M150QHF8R</v>
          </cell>
          <cell r="E41" t="str">
            <v>TEFPSB101D156M150QHF8R</v>
          </cell>
        </row>
        <row r="42">
          <cell r="D42" t="str">
            <v>TEFPSB31E156M8R</v>
          </cell>
          <cell r="E42" t="str">
            <v>TEFPSB31E156M8R</v>
          </cell>
        </row>
        <row r="43">
          <cell r="D43" t="str">
            <v>TEFPSB31E156M8RLD</v>
          </cell>
          <cell r="E43" t="str">
            <v>TEFPSB31E156M8RLD</v>
          </cell>
        </row>
        <row r="44">
          <cell r="D44" t="str">
            <v>TEFPSB31E156M1008RKT</v>
          </cell>
          <cell r="E44" t="str">
            <v>TEFPSB31E156M1008RKT</v>
          </cell>
        </row>
        <row r="45">
          <cell r="D45" t="str">
            <v>TEFPSB31V685M1008RKT3</v>
          </cell>
          <cell r="E45" t="str">
            <v>TEFPSB31V685M1008RKT3</v>
          </cell>
        </row>
        <row r="46">
          <cell r="D46" t="str">
            <v>TEFPSB31V685MHF8R</v>
          </cell>
          <cell r="E46" t="str">
            <v>TEFPSB31V685MHF8R</v>
          </cell>
        </row>
        <row r="47">
          <cell r="D47" t="str">
            <v>FPUA20J336M100BKT</v>
          </cell>
          <cell r="E47" t="str">
            <v>FPUA20J336M100BKT</v>
          </cell>
        </row>
        <row r="48">
          <cell r="D48" t="str">
            <v>FPUA20J336M200BKT</v>
          </cell>
          <cell r="E48" t="str">
            <v>FPUA20J336M200BKT</v>
          </cell>
        </row>
        <row r="49">
          <cell r="D49" t="str">
            <v>FPUA20J336M200BKT2</v>
          </cell>
          <cell r="E49" t="str">
            <v>FPUA20J336M200BKT2</v>
          </cell>
        </row>
        <row r="50">
          <cell r="D50" t="str">
            <v>FPUA20J476M100BKT</v>
          </cell>
          <cell r="E50" t="str">
            <v>FPUA20J476M100BKT</v>
          </cell>
        </row>
        <row r="51">
          <cell r="D51" t="str">
            <v>FPUA20J476M200BKT</v>
          </cell>
          <cell r="E51" t="str">
            <v>FPUA20J476M200BKT</v>
          </cell>
        </row>
        <row r="52">
          <cell r="D52" t="str">
            <v>FPUA20J476M200BKT2</v>
          </cell>
          <cell r="E52" t="str">
            <v>FPUA20J476M200BKT2</v>
          </cell>
        </row>
        <row r="53">
          <cell r="D53" t="str">
            <v>TEGPSP20J106M2008RKT</v>
          </cell>
          <cell r="E53" t="str">
            <v>TEGPSP20J106M2008RKT</v>
          </cell>
        </row>
        <row r="54">
          <cell r="D54" t="str">
            <v>TEGPSP20J106M8R</v>
          </cell>
          <cell r="E54" t="str">
            <v>TEGPSP20J106M8R</v>
          </cell>
        </row>
        <row r="55">
          <cell r="D55" t="str">
            <v>TEGPSP20J106M8RF</v>
          </cell>
          <cell r="E55" t="str">
            <v>TEGPSP20J106M8RF</v>
          </cell>
        </row>
        <row r="56">
          <cell r="D56" t="str">
            <v>TEGPSP20J226M8RKT</v>
          </cell>
          <cell r="E56" t="str">
            <v>TEGPSP20J226M8RKT</v>
          </cell>
        </row>
        <row r="57">
          <cell r="D57"/>
          <cell r="E57"/>
        </row>
        <row r="58">
          <cell r="D58" t="str">
            <v>TEGPSP20J476M1508RKT</v>
          </cell>
          <cell r="E58" t="str">
            <v>TEGPSP20J476M1508RKT</v>
          </cell>
        </row>
        <row r="59">
          <cell r="D59" t="str">
            <v>TEGPSP20J476M150AHF8R</v>
          </cell>
          <cell r="E59" t="str">
            <v>TEGPSP20J476M150AHF8R</v>
          </cell>
        </row>
        <row r="60">
          <cell r="D60" t="str">
            <v>TEGPSP20J476M2008RKT</v>
          </cell>
          <cell r="E60" t="str">
            <v>TEGPSP20J476M2008RKT</v>
          </cell>
        </row>
        <row r="61">
          <cell r="D61" t="str">
            <v>TEGPSP20J476M8R</v>
          </cell>
          <cell r="E61" t="str">
            <v>TEGPSP20J476M8R</v>
          </cell>
        </row>
        <row r="62">
          <cell r="D62"/>
          <cell r="E62"/>
        </row>
        <row r="63">
          <cell r="D63" t="str">
            <v>TEGPSP21A106M2008RKT</v>
          </cell>
          <cell r="E63" t="str">
            <v>TEGPSP21A106M2008RKT</v>
          </cell>
        </row>
        <row r="64">
          <cell r="D64" t="str">
            <v>TEGPSP21A106M8R</v>
          </cell>
          <cell r="E64" t="str">
            <v>TEGPSP21A106M8R</v>
          </cell>
        </row>
        <row r="65">
          <cell r="D65" t="str">
            <v>TEGPSP21A226M1508RKT</v>
          </cell>
          <cell r="E65" t="str">
            <v>TEGPSP21A226M1508RKT</v>
          </cell>
        </row>
        <row r="66">
          <cell r="D66" t="str">
            <v>TEGPSP21A226M8R</v>
          </cell>
          <cell r="E66" t="str">
            <v>TEGPSP21A226M8R</v>
          </cell>
        </row>
        <row r="67">
          <cell r="D67" t="str">
            <v>TEGPSP21A226M8RKT</v>
          </cell>
          <cell r="E67" t="str">
            <v>TEGPSP21A226M8RKT</v>
          </cell>
        </row>
        <row r="68">
          <cell r="D68"/>
          <cell r="E68"/>
        </row>
        <row r="69">
          <cell r="D69" t="str">
            <v>TEGPSP21C106M1508RKT</v>
          </cell>
          <cell r="E69" t="str">
            <v>TEGPSP21C106M1508RKT</v>
          </cell>
        </row>
        <row r="70">
          <cell r="D70"/>
          <cell r="E70"/>
        </row>
        <row r="71">
          <cell r="D71" t="str">
            <v>TEGPSP21E475M3008RKT</v>
          </cell>
          <cell r="E71" t="str">
            <v>TEGPSP21E475M3008RKT</v>
          </cell>
        </row>
        <row r="72">
          <cell r="D72" t="str">
            <v>TEGPSP21E475M8R</v>
          </cell>
          <cell r="E72" t="str">
            <v>TEGPSP21E475M8R</v>
          </cell>
        </row>
        <row r="73">
          <cell r="D73" t="str">
            <v>TEGPSP21E475M8RFF</v>
          </cell>
          <cell r="E73" t="str">
            <v>TEGPSP21E475M8RFF</v>
          </cell>
        </row>
        <row r="74">
          <cell r="D74" t="str">
            <v>TEGPSP20J226M1508R</v>
          </cell>
          <cell r="E74" t="str">
            <v>TEGPSP20J226M1508R</v>
          </cell>
        </row>
        <row r="75">
          <cell r="D75" t="str">
            <v>TEGPSP20J476M8RKT</v>
          </cell>
          <cell r="E75" t="str">
            <v>TEGPSP20J476M8RKT</v>
          </cell>
        </row>
        <row r="76">
          <cell r="D76" t="str">
            <v>TEGPSP21E475M8RLD</v>
          </cell>
          <cell r="E76" t="str">
            <v>TEGPSP21E475M8RLD</v>
          </cell>
        </row>
        <row r="77">
          <cell r="D77" t="str">
            <v>TEPSLA0E227M258RKT</v>
          </cell>
          <cell r="E77" t="str">
            <v>TEPSLA0E227M258RKT</v>
          </cell>
        </row>
        <row r="78">
          <cell r="D78" t="str">
            <v>TEPSLA0E227M358RKT</v>
          </cell>
          <cell r="E78" t="str">
            <v>TEPSLA0E227M358RKT</v>
          </cell>
        </row>
        <row r="79">
          <cell r="D79"/>
          <cell r="E79"/>
        </row>
        <row r="80">
          <cell r="D80" t="str">
            <v>TEPSLA0E227M458RSY</v>
          </cell>
          <cell r="E80" t="str">
            <v>TEPSLA0E227M458RSY</v>
          </cell>
        </row>
        <row r="81">
          <cell r="D81"/>
          <cell r="E81"/>
        </row>
        <row r="82">
          <cell r="D82" t="str">
            <v>TEPSLA0E686M708RKT</v>
          </cell>
          <cell r="E82" t="str">
            <v>TEPSLA0E686M708RKT</v>
          </cell>
        </row>
        <row r="83">
          <cell r="D83"/>
          <cell r="E83"/>
        </row>
        <row r="84">
          <cell r="D84" t="str">
            <v>TEPSLA0G476M708RKT</v>
          </cell>
          <cell r="E84" t="str">
            <v>TEPSLA0G476M708RKT</v>
          </cell>
        </row>
        <row r="85">
          <cell r="D85" t="str">
            <v>TEPSLA0G476M8R</v>
          </cell>
          <cell r="E85" t="str">
            <v>TEPSLA0G476M8R</v>
          </cell>
        </row>
        <row r="86">
          <cell r="D86" t="str">
            <v>TEPSLA0J106M8R</v>
          </cell>
          <cell r="E86" t="str">
            <v>TEPSLA0J106M8R</v>
          </cell>
        </row>
        <row r="87">
          <cell r="D87" t="str">
            <v>TEPSLA0J107M(45)8R</v>
          </cell>
          <cell r="E87" t="str">
            <v>TEPSLA0J107M(45)8R</v>
          </cell>
        </row>
        <row r="88">
          <cell r="D88" t="str">
            <v>TEPSLA0J107M(70)8R</v>
          </cell>
          <cell r="E88" t="str">
            <v>TEPSLA0J107M(70)8R</v>
          </cell>
        </row>
        <row r="89">
          <cell r="D89" t="str">
            <v>TEPSLA0J107M258RKT</v>
          </cell>
          <cell r="E89" t="str">
            <v>TEPSLA0J107M258RKT</v>
          </cell>
        </row>
        <row r="90">
          <cell r="D90" t="str">
            <v>TEPSLA0J107M358RKT</v>
          </cell>
          <cell r="E90" t="str">
            <v>TEPSLA0J107M358RKT</v>
          </cell>
        </row>
        <row r="91">
          <cell r="D91" t="str">
            <v>TEPSLA0J107M35E8RLG</v>
          </cell>
          <cell r="E91" t="str">
            <v>TEPSLA0J107M35E8RLG</v>
          </cell>
        </row>
        <row r="92">
          <cell r="D92" t="str">
            <v>TEPSLA0J107M458RKT</v>
          </cell>
          <cell r="E92" t="str">
            <v>TEPSLA0J107M458RKT</v>
          </cell>
        </row>
        <row r="93">
          <cell r="D93" t="str">
            <v>TEPSLA0J107M8RKT</v>
          </cell>
          <cell r="E93" t="str">
            <v>TEPSLA0J107M8RKT</v>
          </cell>
        </row>
        <row r="94">
          <cell r="D94"/>
          <cell r="E94"/>
        </row>
        <row r="95">
          <cell r="D95" t="str">
            <v>TEPSLA0J226M1008RKT</v>
          </cell>
          <cell r="E95" t="str">
            <v>TEPSLA0J226M1008RKT</v>
          </cell>
        </row>
        <row r="96">
          <cell r="D96" t="str">
            <v>TEPSLA0J226M8R</v>
          </cell>
          <cell r="E96" t="str">
            <v>TEPSLA0J226M8R</v>
          </cell>
        </row>
        <row r="97">
          <cell r="D97" t="str">
            <v>TEPSLA0J226M8RF</v>
          </cell>
          <cell r="E97" t="str">
            <v>TEPSLA0J226M8RF</v>
          </cell>
        </row>
        <row r="98">
          <cell r="D98" t="str">
            <v>TEPSLA0J226M908RKT</v>
          </cell>
          <cell r="E98" t="str">
            <v>TEPSLA0J226M908RKT</v>
          </cell>
        </row>
        <row r="99">
          <cell r="D99" t="str">
            <v>TEPSLA0J336M708RKT</v>
          </cell>
          <cell r="E99" t="str">
            <v>TEPSLA0J336M708RKT</v>
          </cell>
        </row>
        <row r="100">
          <cell r="D100" t="str">
            <v>TEPSLA0J336M808RKT</v>
          </cell>
          <cell r="E100" t="str">
            <v>TEPSLA0J336M808RKT</v>
          </cell>
        </row>
        <row r="101">
          <cell r="D101" t="str">
            <v>TEPSLA0J476M8R</v>
          </cell>
          <cell r="E101" t="str">
            <v>TEPSLA0J476M8R</v>
          </cell>
        </row>
        <row r="102">
          <cell r="D102" t="str">
            <v>TEPSLA0J476M8RKT</v>
          </cell>
          <cell r="E102" t="str">
            <v>TEPSLA0J476M8RKT</v>
          </cell>
        </row>
        <row r="103">
          <cell r="D103" t="str">
            <v>TEPSLA0J476M8RSY</v>
          </cell>
          <cell r="E103" t="str">
            <v>TEPSLA0J476M8RSY</v>
          </cell>
        </row>
        <row r="104">
          <cell r="D104" t="str">
            <v>TEPSLA0J686M1508RKT</v>
          </cell>
          <cell r="E104" t="str">
            <v>TEPSLA0J686M1508RKT</v>
          </cell>
        </row>
        <row r="105">
          <cell r="D105" t="str">
            <v>TEPSLA1A106M808RKT</v>
          </cell>
          <cell r="E105" t="str">
            <v>TEPSLA1A106M808RKT</v>
          </cell>
        </row>
        <row r="106">
          <cell r="D106" t="str">
            <v>TEPSLA1A106M8R</v>
          </cell>
          <cell r="E106" t="str">
            <v>TEPSLA1A106M8R</v>
          </cell>
        </row>
        <row r="107">
          <cell r="D107"/>
          <cell r="E107"/>
        </row>
        <row r="108">
          <cell r="D108" t="str">
            <v>TEPSLA1A156M808RKT</v>
          </cell>
          <cell r="E108" t="str">
            <v>TEPSLA1A156M808RKT</v>
          </cell>
        </row>
        <row r="109">
          <cell r="D109" t="str">
            <v>TEPSLA1A226M808RKT</v>
          </cell>
          <cell r="E109" t="str">
            <v>TEPSLA1A226M808RKT</v>
          </cell>
        </row>
        <row r="110">
          <cell r="D110" t="str">
            <v>TEPSLA1A226M8R</v>
          </cell>
          <cell r="E110" t="str">
            <v>TEPSLA1A226M8R</v>
          </cell>
        </row>
        <row r="111">
          <cell r="D111"/>
          <cell r="E111"/>
        </row>
        <row r="112">
          <cell r="D112" t="str">
            <v>TEPSLA1A475M8R</v>
          </cell>
          <cell r="E112" t="str">
            <v>TEPSLA1A475M8R</v>
          </cell>
        </row>
        <row r="113">
          <cell r="D113" t="str">
            <v>TEPSLA1A476M45E8RLG</v>
          </cell>
          <cell r="E113" t="str">
            <v>TEPSLA1A476M45E8RLG</v>
          </cell>
        </row>
        <row r="114">
          <cell r="D114" t="str">
            <v>TEPSLA0G107M2008RKT</v>
          </cell>
          <cell r="E114" t="str">
            <v>TEPSLA0G107M2008RKT</v>
          </cell>
        </row>
        <row r="115">
          <cell r="D115" t="str">
            <v>TEPSLA0J106M8RSY</v>
          </cell>
          <cell r="E115" t="str">
            <v>TEPSLA0J106M8RSY</v>
          </cell>
        </row>
        <row r="116">
          <cell r="D116" t="str">
            <v>TEPSLA0J107M258R</v>
          </cell>
          <cell r="E116" t="str">
            <v>TEPSLA0J107M258R</v>
          </cell>
        </row>
        <row r="117">
          <cell r="D117" t="str">
            <v>TEPSLA0J107M358R</v>
          </cell>
          <cell r="E117" t="str">
            <v>TEPSLA0J107M358R</v>
          </cell>
        </row>
        <row r="118">
          <cell r="D118" t="str">
            <v>TEPSLA0J107M358RF</v>
          </cell>
          <cell r="E118" t="str">
            <v>TEPSLA0J107M358RF</v>
          </cell>
        </row>
        <row r="119">
          <cell r="D119" t="str">
            <v>TEPSLA0J107M458R</v>
          </cell>
          <cell r="E119" t="str">
            <v>TEPSLA0J107M458R</v>
          </cell>
        </row>
        <row r="120">
          <cell r="D120" t="str">
            <v>TEPSLA0J107M708R</v>
          </cell>
          <cell r="E120" t="str">
            <v>TEPSLA0J107M708R</v>
          </cell>
        </row>
        <row r="121">
          <cell r="D121" t="str">
            <v>TEPSLA0J476M1508RKT</v>
          </cell>
          <cell r="E121" t="str">
            <v>TEPSLA0J476M1508RKT</v>
          </cell>
        </row>
        <row r="122">
          <cell r="D122" t="str">
            <v>TEPSLA0J476M708R</v>
          </cell>
          <cell r="E122" t="str">
            <v>TEPSLA0J476M708R</v>
          </cell>
        </row>
        <row r="123">
          <cell r="D123" t="str">
            <v>TEPSLA0J476M708RF</v>
          </cell>
          <cell r="E123" t="str">
            <v>TEPSLA0J476M708RF</v>
          </cell>
        </row>
        <row r="124">
          <cell r="D124" t="str">
            <v>TEPSLA1A226M8RSY</v>
          </cell>
          <cell r="E124" t="str">
            <v>TEPSLA1A226M8RSY</v>
          </cell>
        </row>
        <row r="125">
          <cell r="D125" t="str">
            <v>TEPSLA1A475M3008RKT2</v>
          </cell>
          <cell r="E125" t="str">
            <v>TEPSLA1A475M3008RKT2</v>
          </cell>
        </row>
        <row r="126">
          <cell r="D126" t="str">
            <v>TEPSLA1A475M8RF</v>
          </cell>
          <cell r="E126" t="str">
            <v>TEPSLA1A475M8RF</v>
          </cell>
        </row>
        <row r="127">
          <cell r="D127" t="str">
            <v>TEPSLA1A476M458R</v>
          </cell>
          <cell r="E127" t="str">
            <v>TEPSLA1A476M458R</v>
          </cell>
        </row>
        <row r="128">
          <cell r="D128" t="str">
            <v>TEPSLA1C335M8R</v>
          </cell>
          <cell r="E128" t="str">
            <v>TEPSLA1C335M8R</v>
          </cell>
        </row>
        <row r="129">
          <cell r="D129" t="str">
            <v>TEPSLB150J157M358R</v>
          </cell>
          <cell r="E129" t="str">
            <v>TEPSLB150J157M358R</v>
          </cell>
        </row>
        <row r="130">
          <cell r="D130" t="str">
            <v>TEPSLB150J157M708R</v>
          </cell>
          <cell r="E130" t="str">
            <v>TEPSLB150J157M708R</v>
          </cell>
        </row>
        <row r="131">
          <cell r="D131" t="str">
            <v>TEPSLB151E106M8RLG</v>
          </cell>
          <cell r="E131" t="str">
            <v>TEPSLB151E106M8RLG</v>
          </cell>
        </row>
        <row r="132">
          <cell r="D132" t="str">
            <v>TEPSLB151E106M8R</v>
          </cell>
          <cell r="E132" t="str">
            <v>TEPSLB151E106M8R</v>
          </cell>
        </row>
        <row r="133">
          <cell r="D133" t="str">
            <v>TEPSGB20E337M9-8R</v>
          </cell>
          <cell r="E133" t="str">
            <v>TEPSGB20E337M9-8R</v>
          </cell>
        </row>
        <row r="134">
          <cell r="D134" t="str">
            <v>TEPSGB20E337M9-8RF</v>
          </cell>
          <cell r="E134" t="str">
            <v>TEPSGB20E337M9-8RF</v>
          </cell>
        </row>
        <row r="135">
          <cell r="D135" t="str">
            <v>TEPSGB20E337M9-8RLG</v>
          </cell>
          <cell r="E135" t="str">
            <v>TEPSGB20E337M9-8RLG</v>
          </cell>
        </row>
        <row r="136">
          <cell r="D136" t="str">
            <v>TEPSGB20E337M9E8RLG</v>
          </cell>
          <cell r="E136" t="str">
            <v>TEPSGB20E337M9E8RLG</v>
          </cell>
        </row>
        <row r="137">
          <cell r="D137"/>
          <cell r="E137"/>
        </row>
        <row r="138">
          <cell r="D138"/>
          <cell r="E138"/>
        </row>
        <row r="139">
          <cell r="D139" t="str">
            <v>TEPSGB20E337M9HF8R</v>
          </cell>
          <cell r="E139" t="str">
            <v>TEPSGB20E337M9HF8R</v>
          </cell>
        </row>
        <row r="140">
          <cell r="D140"/>
          <cell r="E140"/>
        </row>
        <row r="141">
          <cell r="D141"/>
          <cell r="E141"/>
        </row>
        <row r="142">
          <cell r="D142"/>
          <cell r="E142"/>
        </row>
        <row r="143">
          <cell r="D143" t="str">
            <v>TEPSLB20E337M13HF8R</v>
          </cell>
          <cell r="E143" t="str">
            <v>TEPSLB20E337M13HF8R</v>
          </cell>
        </row>
        <row r="144">
          <cell r="D144" t="str">
            <v>TEPSLB20E477M148RKT</v>
          </cell>
          <cell r="E144" t="str">
            <v>TEPSLB20E477M148RKT</v>
          </cell>
        </row>
        <row r="145">
          <cell r="D145"/>
          <cell r="E145"/>
        </row>
        <row r="146">
          <cell r="D146" t="str">
            <v>TEPSLB20J107M8R</v>
          </cell>
          <cell r="E146" t="str">
            <v>TEPSLB20J107M8R</v>
          </cell>
        </row>
        <row r="147">
          <cell r="D147" t="str">
            <v>TEPSLB20J107M8RF</v>
          </cell>
          <cell r="E147" t="str">
            <v>TEPSLB20J107M8RF</v>
          </cell>
        </row>
        <row r="148">
          <cell r="D148" t="str">
            <v>TEPSLB20J157M18HF8R</v>
          </cell>
          <cell r="E148" t="str">
            <v>TEPSLB20J157M18HF8R</v>
          </cell>
        </row>
        <row r="149">
          <cell r="D149"/>
          <cell r="E149"/>
        </row>
        <row r="150">
          <cell r="D150" t="str">
            <v>TEPSLB20J157M25HF8R</v>
          </cell>
          <cell r="E150" t="str">
            <v>TEPSLB20J157M25HF8R</v>
          </cell>
        </row>
        <row r="151">
          <cell r="D151"/>
          <cell r="E151"/>
        </row>
        <row r="152">
          <cell r="D152" t="str">
            <v>TEPSLB20J227M25CS8R</v>
          </cell>
          <cell r="E152" t="str">
            <v>TEPSLB20J227M25CS8R</v>
          </cell>
        </row>
        <row r="153">
          <cell r="D153" t="str">
            <v>TEPSLB20J227M25HF8R</v>
          </cell>
          <cell r="E153" t="str">
            <v>TEPSLB20J227M25HF8R</v>
          </cell>
        </row>
        <row r="154">
          <cell r="D154" t="str">
            <v>TEPSLB20J227M25LQ8R</v>
          </cell>
          <cell r="E154" t="str">
            <v>TEPSLB20J227M25LQ8R</v>
          </cell>
        </row>
        <row r="155">
          <cell r="D155" t="str">
            <v>TEPSLB20J227M25SK8R</v>
          </cell>
          <cell r="E155" t="str">
            <v>TEPSLB20J227M25SK8R</v>
          </cell>
        </row>
        <row r="156">
          <cell r="D156" t="str">
            <v>TEPSLB20J337M45HF8R</v>
          </cell>
          <cell r="E156" t="str">
            <v>TEPSLB20J337M45HF8R</v>
          </cell>
        </row>
        <row r="157">
          <cell r="D157"/>
          <cell r="E157"/>
        </row>
        <row r="158">
          <cell r="D158" t="str">
            <v>TEPSLB21A336M8R</v>
          </cell>
          <cell r="E158" t="str">
            <v>TEPSLB21A336M8R</v>
          </cell>
        </row>
        <row r="159">
          <cell r="D159" t="str">
            <v>TEPSLB21A476M8R</v>
          </cell>
          <cell r="E159" t="str">
            <v>TEPSLB21A476M8R</v>
          </cell>
        </row>
        <row r="160">
          <cell r="D160" t="str">
            <v>TEPSLB21A476M8RF</v>
          </cell>
          <cell r="E160" t="str">
            <v>TEPSLB21A476M8RF</v>
          </cell>
        </row>
        <row r="161">
          <cell r="D161"/>
          <cell r="E161"/>
        </row>
        <row r="162">
          <cell r="D162" t="str">
            <v>TEPSLB21A476M8RSY</v>
          </cell>
          <cell r="E162" t="str">
            <v>TEPSLB21A476M8RSY</v>
          </cell>
        </row>
        <row r="163">
          <cell r="D163" t="str">
            <v>TEPSLB21C106M8R</v>
          </cell>
          <cell r="E163" t="str">
            <v>TEPSLB21C106M8R</v>
          </cell>
        </row>
        <row r="164">
          <cell r="D164" t="str">
            <v>TEPSLB21C106M8RF</v>
          </cell>
          <cell r="E164" t="str">
            <v>TEPSLB21C106M8RF</v>
          </cell>
        </row>
        <row r="165">
          <cell r="D165" t="str">
            <v>TEPSLB21C336M8R</v>
          </cell>
          <cell r="E165" t="str">
            <v>TEPSLB21C336M8R</v>
          </cell>
        </row>
        <row r="166">
          <cell r="D166" t="str">
            <v>TEPSLB21C336M8RF</v>
          </cell>
          <cell r="E166" t="str">
            <v>TEPSLB21C336M8RF</v>
          </cell>
        </row>
        <row r="167">
          <cell r="D167"/>
          <cell r="E167"/>
        </row>
        <row r="168">
          <cell r="D168" t="str">
            <v>TEPSLB21C475M8R</v>
          </cell>
          <cell r="E168" t="str">
            <v>TEPSLB21C475M8R</v>
          </cell>
        </row>
        <row r="169">
          <cell r="D169" t="str">
            <v>TEPSLB21D336M8R</v>
          </cell>
          <cell r="E169" t="str">
            <v>TEPSLB21D336M8R</v>
          </cell>
        </row>
        <row r="170">
          <cell r="D170" t="str">
            <v>TEPSLB21E156M8R</v>
          </cell>
          <cell r="E170" t="str">
            <v>TEPSLB21E156M8R</v>
          </cell>
        </row>
        <row r="171">
          <cell r="D171" t="str">
            <v>TEPSLB21E156M8RF</v>
          </cell>
          <cell r="E171" t="str">
            <v>TEPSLB21E156M8RF</v>
          </cell>
        </row>
        <row r="172">
          <cell r="D172"/>
          <cell r="E172"/>
        </row>
        <row r="173">
          <cell r="D173" t="str">
            <v>TEPSLB21E226M8R</v>
          </cell>
          <cell r="E173" t="str">
            <v>TEPSLB21E226M8R</v>
          </cell>
        </row>
        <row r="174">
          <cell r="D174" t="str">
            <v>TEPSLB21E226M8RLG</v>
          </cell>
          <cell r="E174" t="str">
            <v>TEPSLB21E226M8RLG</v>
          </cell>
        </row>
        <row r="175">
          <cell r="D175"/>
          <cell r="E175"/>
        </row>
        <row r="176">
          <cell r="D176" t="str">
            <v>TEPSLB20E227M158R</v>
          </cell>
          <cell r="E176" t="str">
            <v>TEPSLB20E227M158R</v>
          </cell>
        </row>
        <row r="177">
          <cell r="D177"/>
          <cell r="E177"/>
        </row>
        <row r="178">
          <cell r="D178" t="str">
            <v>TEPSLB20E227M358R</v>
          </cell>
          <cell r="E178" t="str">
            <v>TEPSLB20E227M358R</v>
          </cell>
        </row>
        <row r="179">
          <cell r="D179" t="str">
            <v>TEPSLB20E337M158R</v>
          </cell>
          <cell r="E179" t="str">
            <v>TEPSLB20E337M158R</v>
          </cell>
        </row>
        <row r="180">
          <cell r="D180" t="str">
            <v>TEPSLB20E337M158RF</v>
          </cell>
          <cell r="E180" t="str">
            <v>TEPSLB20E337M158RF</v>
          </cell>
        </row>
        <row r="181">
          <cell r="D181"/>
          <cell r="E181"/>
        </row>
        <row r="182">
          <cell r="D182" t="str">
            <v>TEPSLB20E337M35NE8R</v>
          </cell>
          <cell r="E182" t="str">
            <v>TEPSLB20E337M35NE8R</v>
          </cell>
        </row>
        <row r="183">
          <cell r="D183" t="str">
            <v>TEPSLB20J107M358R</v>
          </cell>
          <cell r="E183" t="str">
            <v>TEPSLB20J107M358R</v>
          </cell>
        </row>
        <row r="184">
          <cell r="D184" t="str">
            <v>TEPSLB20J107M358RF</v>
          </cell>
          <cell r="E184" t="str">
            <v>TEPSLB20J107M358RF</v>
          </cell>
        </row>
        <row r="185">
          <cell r="D185" t="str">
            <v>TEPSLB20J107M458R</v>
          </cell>
          <cell r="E185" t="str">
            <v>TEPSLB20J107M458R</v>
          </cell>
        </row>
        <row r="186">
          <cell r="D186" t="str">
            <v>TEPSLB20J157M258RF</v>
          </cell>
          <cell r="E186" t="str">
            <v>TEPSLB20J157M258RF</v>
          </cell>
        </row>
        <row r="187">
          <cell r="D187" t="str">
            <v>TEPSLB20J157M358R</v>
          </cell>
          <cell r="E187" t="str">
            <v>TEPSLB20J157M358R</v>
          </cell>
        </row>
        <row r="188">
          <cell r="D188"/>
          <cell r="E188"/>
        </row>
        <row r="189">
          <cell r="D189" t="str">
            <v>TEPSLB20J157M458R</v>
          </cell>
          <cell r="E189" t="str">
            <v>TEPSLB20J157M458R</v>
          </cell>
        </row>
        <row r="190">
          <cell r="D190" t="str">
            <v>TEPSLB20J226M8R</v>
          </cell>
          <cell r="E190" t="str">
            <v>TEPSLB20J226M8R</v>
          </cell>
        </row>
        <row r="191">
          <cell r="D191" t="str">
            <v>TEPSLB20J227M258R</v>
          </cell>
          <cell r="E191" t="str">
            <v>TEPSLB20J227M258R</v>
          </cell>
        </row>
        <row r="192">
          <cell r="D192" t="str">
            <v>TEPSLB20J227M258RF</v>
          </cell>
          <cell r="E192" t="str">
            <v>TEPSLB20J227M258RF</v>
          </cell>
        </row>
        <row r="193">
          <cell r="D193" t="str">
            <v>TEPSLB20J227M358R</v>
          </cell>
          <cell r="E193" t="str">
            <v>TEPSLB20J227M358R</v>
          </cell>
        </row>
        <row r="194">
          <cell r="D194" t="str">
            <v>TEPSLB20J227M458R</v>
          </cell>
          <cell r="E194" t="str">
            <v>TEPSLB20J227M458R</v>
          </cell>
        </row>
        <row r="195">
          <cell r="D195" t="str">
            <v>TEPSLB20J337M458R</v>
          </cell>
          <cell r="E195" t="str">
            <v>TEPSLB20J337M458R</v>
          </cell>
        </row>
        <row r="196">
          <cell r="D196" t="str">
            <v>TEPSLB20J337M458RFL</v>
          </cell>
          <cell r="E196" t="str">
            <v>TEPSLB20J337M458RFL</v>
          </cell>
        </row>
        <row r="197">
          <cell r="D197" t="str">
            <v>TEPSLB21A107M458R</v>
          </cell>
          <cell r="E197" t="str">
            <v>TEPSLB21A107M458R</v>
          </cell>
        </row>
        <row r="198">
          <cell r="D198" t="str">
            <v>TEPSLB21A107M458RFL</v>
          </cell>
          <cell r="E198" t="str">
            <v>TEPSLB21A107M458RFL</v>
          </cell>
        </row>
        <row r="199">
          <cell r="D199" t="str">
            <v>TEPSLB21A226M8RF</v>
          </cell>
          <cell r="E199" t="str">
            <v>TEPSLB21A226M8RF</v>
          </cell>
        </row>
        <row r="200">
          <cell r="D200" t="str">
            <v>TLPSLB21A626MHF8RE</v>
          </cell>
          <cell r="E200" t="str">
            <v>TLPSLB21A626MHF8RE</v>
          </cell>
        </row>
        <row r="201">
          <cell r="D201" t="str">
            <v>TEPSLB30J107M35HF8R</v>
          </cell>
          <cell r="E201" t="str">
            <v>TEPSLB30J107M35HF8R</v>
          </cell>
        </row>
        <row r="202">
          <cell r="D202"/>
          <cell r="E202"/>
        </row>
        <row r="203">
          <cell r="D203" t="str">
            <v>TEPSLB30J157M30AHF8R</v>
          </cell>
          <cell r="E203" t="str">
            <v>TEPSLB30J157M30AHF8R</v>
          </cell>
        </row>
        <row r="204">
          <cell r="D204" t="str">
            <v>TEPSLB30J157M30PHF8R</v>
          </cell>
          <cell r="E204" t="str">
            <v>TEPSLB30J157M30PHF8R</v>
          </cell>
        </row>
        <row r="205">
          <cell r="D205"/>
          <cell r="E205"/>
        </row>
        <row r="206">
          <cell r="D206" t="str">
            <v>TEPSLB30J336M8R</v>
          </cell>
          <cell r="E206" t="str">
            <v>TEPSLB30J336M8R</v>
          </cell>
        </row>
        <row r="207">
          <cell r="D207" t="str">
            <v>TEPSLB30J686M8R</v>
          </cell>
          <cell r="E207" t="str">
            <v>TEPSLB30J686M8R</v>
          </cell>
        </row>
        <row r="208">
          <cell r="D208" t="str">
            <v>TEPSLB31A336M8R</v>
          </cell>
          <cell r="E208" t="str">
            <v>TEPSLB31A336M8R</v>
          </cell>
        </row>
        <row r="209">
          <cell r="D209" t="str">
            <v>TEPSLB31A476M8R</v>
          </cell>
          <cell r="E209" t="str">
            <v>TEPSLB31A476M8R</v>
          </cell>
        </row>
        <row r="210">
          <cell r="D210"/>
          <cell r="E210"/>
        </row>
        <row r="211">
          <cell r="D211" t="str">
            <v>TEPSLB31C336M55E8RLG</v>
          </cell>
          <cell r="E211" t="str">
            <v>TEPSLB31C336M55E8RLG</v>
          </cell>
        </row>
        <row r="212">
          <cell r="D212"/>
          <cell r="E212"/>
        </row>
        <row r="213">
          <cell r="D213" t="str">
            <v>TEPSLB31C336M55HF8R</v>
          </cell>
          <cell r="E213" t="str">
            <v>TEPSLB31C336M55HF8R</v>
          </cell>
        </row>
        <row r="214">
          <cell r="D214" t="str">
            <v>TEPSLB31C336M55PHF8R</v>
          </cell>
          <cell r="E214" t="str">
            <v>TEPSLB31C336M55PHF8R</v>
          </cell>
        </row>
        <row r="215">
          <cell r="D215" t="str">
            <v>TEPSLB31C336M8R</v>
          </cell>
          <cell r="E215" t="str">
            <v>TEPSLB31C336M8R</v>
          </cell>
        </row>
        <row r="216">
          <cell r="D216" t="str">
            <v>TEPSLB30E227M358R</v>
          </cell>
          <cell r="E216" t="str">
            <v>TEPSLB30E227M358R</v>
          </cell>
        </row>
        <row r="217">
          <cell r="D217"/>
          <cell r="E217"/>
        </row>
        <row r="218">
          <cell r="D218" t="str">
            <v>TEPSLB30G227M358R</v>
          </cell>
          <cell r="E218" t="str">
            <v>TEPSLB30G227M358R</v>
          </cell>
        </row>
        <row r="219">
          <cell r="D219" t="str">
            <v>TEPSLB30J107M458R</v>
          </cell>
          <cell r="E219" t="str">
            <v>TEPSLB30J107M458R</v>
          </cell>
        </row>
        <row r="220">
          <cell r="D220" t="str">
            <v>TEPSLB30J157M358R</v>
          </cell>
          <cell r="E220" t="str">
            <v>TEPSLB30J157M358R</v>
          </cell>
        </row>
        <row r="221">
          <cell r="D221" t="str">
            <v>TEPSLB31C336M558RF</v>
          </cell>
          <cell r="E221" t="str">
            <v>TEPSLB31C336M558RF</v>
          </cell>
        </row>
        <row r="222">
          <cell r="D222" t="str">
            <v>TEPSLB31E685M8RF</v>
          </cell>
          <cell r="E222" t="str">
            <v>TEPSLB31E685M8RF</v>
          </cell>
        </row>
        <row r="223">
          <cell r="D223" t="str">
            <v>TEPSLB31M276M55QHF8R</v>
          </cell>
          <cell r="E223" t="str">
            <v>TEPSLB31M276M55QHF8R</v>
          </cell>
        </row>
        <row r="224">
          <cell r="D224" t="str">
            <v>Grand total</v>
          </cell>
          <cell r="E224" t="str">
            <v>Grand total</v>
          </cell>
        </row>
        <row r="225">
          <cell r="D225" t="str">
            <v>Sub total</v>
          </cell>
          <cell r="E225" t="str">
            <v>Sub total</v>
          </cell>
        </row>
        <row r="226">
          <cell r="D226" t="str">
            <v>Sub total</v>
          </cell>
          <cell r="E226" t="str">
            <v>Sub total</v>
          </cell>
        </row>
        <row r="227">
          <cell r="D227" t="str">
            <v>Sub total</v>
          </cell>
          <cell r="E227" t="str">
            <v>Sub total</v>
          </cell>
        </row>
        <row r="228">
          <cell r="D228" t="str">
            <v>Sub total</v>
          </cell>
          <cell r="E228" t="str">
            <v>Sub total</v>
          </cell>
        </row>
        <row r="229">
          <cell r="D229" t="str">
            <v>Sub total</v>
          </cell>
          <cell r="E229" t="str">
            <v>Sub total</v>
          </cell>
        </row>
        <row r="230">
          <cell r="D230" t="str">
            <v>Sub total</v>
          </cell>
          <cell r="E230" t="str">
            <v>Sub total</v>
          </cell>
        </row>
        <row r="231">
          <cell r="D231" t="str">
            <v>Sub total</v>
          </cell>
          <cell r="E231" t="str">
            <v>Sub total</v>
          </cell>
        </row>
        <row r="232">
          <cell r="D232" t="str">
            <v>Sub total</v>
          </cell>
          <cell r="E232" t="str">
            <v>Sub total</v>
          </cell>
        </row>
        <row r="233">
          <cell r="D233" t="str">
            <v>Sub total</v>
          </cell>
          <cell r="E233" t="str">
            <v>Sub total</v>
          </cell>
        </row>
        <row r="234">
          <cell r="D234" t="str">
            <v>Sub total</v>
          </cell>
          <cell r="E234" t="str">
            <v>Sub total</v>
          </cell>
        </row>
        <row r="235">
          <cell r="D235" t="str">
            <v>Sub total</v>
          </cell>
          <cell r="E235" t="str">
            <v>Sub total</v>
          </cell>
        </row>
        <row r="236">
          <cell r="D236" t="str">
            <v>Sub total</v>
          </cell>
          <cell r="E236" t="str">
            <v>Sub total</v>
          </cell>
        </row>
        <row r="237">
          <cell r="D237" t="str">
            <v>Sub total</v>
          </cell>
          <cell r="E237" t="str">
            <v>Sub total</v>
          </cell>
        </row>
        <row r="238">
          <cell r="D238" t="str">
            <v>Sub total</v>
          </cell>
          <cell r="E238" t="str">
            <v>Sub total</v>
          </cell>
        </row>
        <row r="239">
          <cell r="D239" t="str">
            <v>Sub total</v>
          </cell>
          <cell r="E239" t="str">
            <v>Sub total</v>
          </cell>
        </row>
        <row r="240">
          <cell r="D240"/>
          <cell r="E240"/>
        </row>
        <row r="241">
          <cell r="D241"/>
          <cell r="E241"/>
        </row>
        <row r="242">
          <cell r="D242"/>
          <cell r="E242"/>
        </row>
        <row r="243">
          <cell r="D243"/>
          <cell r="E243"/>
        </row>
        <row r="244">
          <cell r="D244" t="str">
            <v>Sub total</v>
          </cell>
          <cell r="E244" t="str">
            <v>Sub total</v>
          </cell>
        </row>
        <row r="245">
          <cell r="D245" t="str">
            <v>Sub total</v>
          </cell>
          <cell r="E245" t="str">
            <v>Sub total</v>
          </cell>
        </row>
        <row r="247">
          <cell r="D247" t="str">
            <v>PSL &amp; PSG</v>
          </cell>
          <cell r="E247" t="str">
            <v>PSL &amp; PSG</v>
          </cell>
        </row>
        <row r="248">
          <cell r="D248" t="str">
            <v>FPSA3 &amp; A2</v>
          </cell>
          <cell r="E248" t="str">
            <v>FPSA3 &amp; A2</v>
          </cell>
        </row>
        <row r="249">
          <cell r="D249" t="str">
            <v>FPSA08</v>
          </cell>
          <cell r="E249" t="str">
            <v>FPSA08</v>
          </cell>
        </row>
        <row r="250">
          <cell r="D250" t="str">
            <v>FPSB3</v>
          </cell>
          <cell r="E250" t="str">
            <v>FPSB3</v>
          </cell>
        </row>
        <row r="251">
          <cell r="D251" t="str">
            <v>GPSP2</v>
          </cell>
          <cell r="E251" t="str">
            <v>GPSP2</v>
          </cell>
        </row>
        <row r="252">
          <cell r="D252" t="str">
            <v>FPSB10</v>
          </cell>
          <cell r="E252" t="str">
            <v>FPSB10</v>
          </cell>
        </row>
        <row r="253">
          <cell r="D253" t="str">
            <v>Total</v>
          </cell>
          <cell r="E253" t="str">
            <v>Total</v>
          </cell>
        </row>
        <row r="256">
          <cell r="D256" t="str">
            <v>FPSA2</v>
          </cell>
          <cell r="E256" t="str">
            <v>FPSA2</v>
          </cell>
        </row>
        <row r="257">
          <cell r="D257" t="str">
            <v>FPSA3</v>
          </cell>
          <cell r="E257" t="str">
            <v>FPSA3</v>
          </cell>
        </row>
        <row r="258">
          <cell r="D258" t="str">
            <v>PSGB2</v>
          </cell>
          <cell r="E258" t="str">
            <v>PSGB2</v>
          </cell>
        </row>
        <row r="259">
          <cell r="D259" t="str">
            <v>PSLA</v>
          </cell>
          <cell r="E259" t="str">
            <v>PSLA</v>
          </cell>
        </row>
        <row r="260">
          <cell r="D260" t="str">
            <v>PSLB15</v>
          </cell>
          <cell r="E260" t="str">
            <v>PSLB15</v>
          </cell>
        </row>
        <row r="261">
          <cell r="D261" t="str">
            <v>PSLB3</v>
          </cell>
          <cell r="E261" t="str">
            <v>PSLB3</v>
          </cell>
        </row>
        <row r="262">
          <cell r="D262" t="str">
            <v>PSLB2</v>
          </cell>
          <cell r="E262" t="str">
            <v>PSLB2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7609-92DA-448E-B30B-7B65422D0F2F}">
  <sheetPr>
    <tabColor rgb="FFFFFF00"/>
  </sheetPr>
  <dimension ref="A1:U53"/>
  <sheetViews>
    <sheetView showGridLines="0" topLeftCell="D1" zoomScaleNormal="100" workbookViewId="0">
      <pane ySplit="4" topLeftCell="A41" activePane="bottomLeft" state="frozen"/>
      <selection pane="bottomLeft" activeCell="R52" sqref="R52"/>
    </sheetView>
  </sheetViews>
  <sheetFormatPr defaultColWidth="9.1796875" defaultRowHeight="14.5"/>
  <cols>
    <col min="1" max="1" width="5" style="1" customWidth="1"/>
    <col min="2" max="2" width="9.453125" style="1" bestFit="1" customWidth="1"/>
    <col min="3" max="8" width="9.1796875" style="1"/>
    <col min="9" max="9" width="9.1796875" style="20"/>
    <col min="10" max="11" width="9.1796875" style="1"/>
    <col min="12" max="12" width="9.1796875" style="20"/>
    <col min="13" max="14" width="9.1796875" style="1"/>
    <col min="15" max="15" width="9.1796875" style="20"/>
    <col min="16" max="17" width="9.1796875" style="1"/>
    <col min="18" max="18" width="9.1796875" style="20"/>
    <col min="19" max="16384" width="9.1796875" style="1"/>
  </cols>
  <sheetData>
    <row r="1" spans="1:21" ht="23.5">
      <c r="A1" s="16"/>
      <c r="D1" s="38" t="s">
        <v>0</v>
      </c>
      <c r="F1" s="16" t="s">
        <v>1</v>
      </c>
      <c r="I1" s="1"/>
      <c r="J1" s="20"/>
      <c r="L1" s="1"/>
      <c r="M1" s="20" t="s">
        <v>2</v>
      </c>
      <c r="O1" s="1"/>
      <c r="P1" s="20"/>
      <c r="Q1" s="15" t="s">
        <v>3</v>
      </c>
      <c r="R1" s="14"/>
      <c r="S1" s="20"/>
    </row>
    <row r="2" spans="1:21" ht="23.5">
      <c r="A2" s="16"/>
      <c r="D2" s="38"/>
      <c r="F2" s="16"/>
      <c r="I2" s="1"/>
      <c r="J2" s="20"/>
      <c r="L2" s="1"/>
      <c r="M2" s="20"/>
      <c r="O2" s="1"/>
      <c r="P2" s="20"/>
      <c r="Q2" s="15" t="s">
        <v>4</v>
      </c>
      <c r="R2" s="14"/>
      <c r="S2" s="20"/>
    </row>
    <row r="3" spans="1:21">
      <c r="B3" s="38" t="s">
        <v>5</v>
      </c>
      <c r="C3" s="27" t="s">
        <v>6</v>
      </c>
      <c r="D3" s="27" t="s">
        <v>7</v>
      </c>
      <c r="I3" s="1"/>
      <c r="J3" s="20"/>
      <c r="L3" s="1"/>
      <c r="M3" s="20"/>
      <c r="O3" s="1"/>
      <c r="P3" s="20" t="s">
        <v>8</v>
      </c>
      <c r="R3" s="1"/>
      <c r="S3" s="20"/>
    </row>
    <row r="4" spans="1:21" ht="15" thickBot="1">
      <c r="B4" s="22" t="s">
        <v>9</v>
      </c>
      <c r="C4" s="13" t="s">
        <v>10</v>
      </c>
      <c r="D4" s="13" t="s">
        <v>11</v>
      </c>
      <c r="E4" s="27"/>
      <c r="F4" s="13" t="s">
        <v>12</v>
      </c>
      <c r="G4" s="13" t="s">
        <v>13</v>
      </c>
      <c r="H4" s="13" t="s">
        <v>14</v>
      </c>
      <c r="I4" s="13" t="s">
        <v>15</v>
      </c>
      <c r="J4" s="21" t="s">
        <v>16</v>
      </c>
      <c r="K4" s="13" t="s">
        <v>17</v>
      </c>
      <c r="L4" s="13" t="s">
        <v>18</v>
      </c>
      <c r="M4" s="21" t="s">
        <v>19</v>
      </c>
      <c r="N4" s="13" t="s">
        <v>20</v>
      </c>
      <c r="O4" s="13" t="s">
        <v>21</v>
      </c>
      <c r="P4" s="21" t="s">
        <v>22</v>
      </c>
      <c r="Q4" s="13" t="s">
        <v>23</v>
      </c>
      <c r="R4" s="13" t="s">
        <v>24</v>
      </c>
      <c r="S4" s="21" t="s">
        <v>10</v>
      </c>
    </row>
    <row r="5" spans="1:21" ht="15" thickTop="1">
      <c r="B5" s="23">
        <v>82</v>
      </c>
      <c r="C5" s="10">
        <v>80</v>
      </c>
      <c r="D5" s="33">
        <v>0.7</v>
      </c>
      <c r="E5" s="164"/>
      <c r="F5" s="12" t="s">
        <v>25</v>
      </c>
      <c r="G5" s="11" t="s">
        <v>26</v>
      </c>
      <c r="H5" s="165">
        <v>80</v>
      </c>
      <c r="I5" s="165">
        <v>81</v>
      </c>
      <c r="J5" s="165">
        <v>82</v>
      </c>
      <c r="K5" s="165">
        <v>83</v>
      </c>
      <c r="L5" s="165">
        <v>84</v>
      </c>
      <c r="M5" s="165">
        <v>85</v>
      </c>
      <c r="N5" s="165">
        <v>86</v>
      </c>
      <c r="O5" s="165">
        <v>87</v>
      </c>
      <c r="P5" s="165">
        <v>88</v>
      </c>
      <c r="Q5" s="165">
        <v>89</v>
      </c>
      <c r="R5" s="165">
        <v>89.5</v>
      </c>
      <c r="S5" s="165">
        <v>90</v>
      </c>
    </row>
    <row r="6" spans="1:21">
      <c r="B6" s="31">
        <v>91.64</v>
      </c>
      <c r="C6" s="7">
        <v>93</v>
      </c>
      <c r="D6" s="34">
        <v>0.9</v>
      </c>
      <c r="E6" s="164"/>
      <c r="F6" s="9" t="s">
        <v>25</v>
      </c>
      <c r="G6" s="8" t="s">
        <v>27</v>
      </c>
      <c r="H6" s="166">
        <v>91</v>
      </c>
      <c r="I6" s="166">
        <v>91.1</v>
      </c>
      <c r="J6" s="166">
        <v>91.2</v>
      </c>
      <c r="K6" s="166">
        <v>91.3</v>
      </c>
      <c r="L6" s="166">
        <v>91.4</v>
      </c>
      <c r="M6" s="166">
        <v>91.5</v>
      </c>
      <c r="N6" s="166">
        <v>91.6</v>
      </c>
      <c r="O6" s="166">
        <v>91.7</v>
      </c>
      <c r="P6" s="166">
        <v>91.8</v>
      </c>
      <c r="Q6" s="166">
        <v>91.9</v>
      </c>
      <c r="R6" s="166">
        <v>91.9</v>
      </c>
      <c r="S6" s="166">
        <v>92</v>
      </c>
      <c r="T6" s="39">
        <v>0.92</v>
      </c>
    </row>
    <row r="7" spans="1:21">
      <c r="B7" s="31">
        <v>87.92</v>
      </c>
      <c r="C7" s="7">
        <v>91.360357369179482</v>
      </c>
      <c r="D7" s="34">
        <v>0.89</v>
      </c>
      <c r="E7" s="164"/>
      <c r="F7" s="9" t="s">
        <v>25</v>
      </c>
      <c r="G7" s="8" t="s">
        <v>28</v>
      </c>
      <c r="H7" s="166">
        <v>89</v>
      </c>
      <c r="I7" s="166">
        <v>89.3</v>
      </c>
      <c r="J7" s="166">
        <v>89.5</v>
      </c>
      <c r="K7" s="166">
        <v>89.8</v>
      </c>
      <c r="L7" s="166">
        <v>90</v>
      </c>
      <c r="M7" s="166">
        <v>90.2</v>
      </c>
      <c r="N7" s="166">
        <v>90.4</v>
      </c>
      <c r="O7" s="166">
        <v>90.6</v>
      </c>
      <c r="P7" s="166">
        <v>90.7</v>
      </c>
      <c r="Q7" s="166">
        <v>90.8</v>
      </c>
      <c r="R7" s="166">
        <v>90.9</v>
      </c>
      <c r="S7" s="166">
        <v>91</v>
      </c>
      <c r="T7" s="39">
        <v>0.91</v>
      </c>
    </row>
    <row r="8" spans="1:21">
      <c r="B8" s="31">
        <v>89.5</v>
      </c>
      <c r="C8" s="7">
        <v>90</v>
      </c>
      <c r="D8" s="34">
        <v>0.8</v>
      </c>
      <c r="E8" s="164"/>
      <c r="F8" s="9" t="s">
        <v>25</v>
      </c>
      <c r="G8" s="8" t="s">
        <v>29</v>
      </c>
      <c r="H8" s="166">
        <v>85</v>
      </c>
      <c r="I8" s="166">
        <v>85.5</v>
      </c>
      <c r="J8" s="166">
        <v>86</v>
      </c>
      <c r="K8" s="166">
        <v>86.5</v>
      </c>
      <c r="L8" s="166">
        <v>87</v>
      </c>
      <c r="M8" s="166">
        <v>87.5</v>
      </c>
      <c r="N8" s="166">
        <v>88</v>
      </c>
      <c r="O8" s="166">
        <v>88.5</v>
      </c>
      <c r="P8" s="166">
        <v>89</v>
      </c>
      <c r="Q8" s="166">
        <v>89.5</v>
      </c>
      <c r="R8" s="166">
        <v>89.8</v>
      </c>
      <c r="S8" s="166">
        <v>90</v>
      </c>
    </row>
    <row r="9" spans="1:21">
      <c r="B9" s="40">
        <v>89.42</v>
      </c>
      <c r="C9" s="7">
        <v>93.5</v>
      </c>
      <c r="D9" s="34">
        <v>0.88</v>
      </c>
      <c r="E9" s="164"/>
      <c r="F9" s="9" t="s">
        <v>25</v>
      </c>
      <c r="G9" s="8" t="s">
        <v>30</v>
      </c>
      <c r="H9" s="166">
        <v>89</v>
      </c>
      <c r="I9" s="166">
        <v>89.5</v>
      </c>
      <c r="J9" s="166">
        <v>90</v>
      </c>
      <c r="K9" s="166">
        <v>90.5</v>
      </c>
      <c r="L9" s="166">
        <v>90.8</v>
      </c>
      <c r="M9" s="166">
        <v>91</v>
      </c>
      <c r="N9" s="166">
        <v>91.2</v>
      </c>
      <c r="O9" s="166">
        <v>91.4</v>
      </c>
      <c r="P9" s="166">
        <v>91.6</v>
      </c>
      <c r="Q9" s="166">
        <v>91.7</v>
      </c>
      <c r="R9" s="166">
        <v>91.8</v>
      </c>
      <c r="S9" s="166">
        <v>92</v>
      </c>
      <c r="T9" s="39">
        <v>0.92</v>
      </c>
    </row>
    <row r="10" spans="1:21">
      <c r="B10" s="31">
        <v>84.36</v>
      </c>
      <c r="C10" s="7">
        <v>87.667984604889426</v>
      </c>
      <c r="D10" s="34">
        <v>0.86</v>
      </c>
      <c r="E10" s="164"/>
      <c r="F10" s="9" t="s">
        <v>25</v>
      </c>
      <c r="G10" s="8" t="s">
        <v>31</v>
      </c>
      <c r="H10" s="166">
        <v>86</v>
      </c>
      <c r="I10" s="166">
        <v>86.2</v>
      </c>
      <c r="J10" s="166">
        <v>86.4</v>
      </c>
      <c r="K10" s="166">
        <v>86.8</v>
      </c>
      <c r="L10" s="166">
        <v>87</v>
      </c>
      <c r="M10" s="166">
        <v>87.2</v>
      </c>
      <c r="N10" s="166">
        <v>87.4</v>
      </c>
      <c r="O10" s="166">
        <v>87.6</v>
      </c>
      <c r="P10" s="166">
        <v>87.8</v>
      </c>
      <c r="Q10" s="166">
        <v>88</v>
      </c>
      <c r="R10" s="166">
        <v>88.5</v>
      </c>
      <c r="S10" s="166">
        <v>89</v>
      </c>
    </row>
    <row r="11" spans="1:21">
      <c r="B11" s="31">
        <v>86.99</v>
      </c>
      <c r="C11" s="7">
        <v>94.500000000000028</v>
      </c>
      <c r="D11" s="34">
        <v>0.91</v>
      </c>
      <c r="E11" s="164"/>
      <c r="F11" s="9" t="s">
        <v>25</v>
      </c>
      <c r="G11" s="8" t="s">
        <v>32</v>
      </c>
      <c r="H11" s="166">
        <v>91.5</v>
      </c>
      <c r="I11" s="166">
        <v>91.6</v>
      </c>
      <c r="J11" s="166">
        <v>91.8</v>
      </c>
      <c r="K11" s="166">
        <v>91.9</v>
      </c>
      <c r="L11" s="166">
        <v>92</v>
      </c>
      <c r="M11" s="166">
        <v>92.2</v>
      </c>
      <c r="N11" s="166">
        <v>92.4</v>
      </c>
      <c r="O11" s="166">
        <v>92.8</v>
      </c>
      <c r="P11" s="166">
        <v>93</v>
      </c>
      <c r="Q11" s="166">
        <v>93.5</v>
      </c>
      <c r="R11" s="166">
        <v>93.8</v>
      </c>
      <c r="S11" s="166">
        <v>94</v>
      </c>
    </row>
    <row r="12" spans="1:21">
      <c r="B12" s="40">
        <v>89.6</v>
      </c>
      <c r="C12" s="7">
        <v>93.582605251688747</v>
      </c>
      <c r="D12" s="34">
        <v>0.91</v>
      </c>
      <c r="E12" s="164"/>
      <c r="F12" s="9" t="s">
        <v>25</v>
      </c>
      <c r="G12" s="8" t="s">
        <v>33</v>
      </c>
      <c r="H12" s="166">
        <v>91</v>
      </c>
      <c r="I12" s="166">
        <v>91.1</v>
      </c>
      <c r="J12" s="166">
        <v>91.2</v>
      </c>
      <c r="K12" s="166">
        <v>91.4</v>
      </c>
      <c r="L12" s="166">
        <v>91.6</v>
      </c>
      <c r="M12" s="166">
        <v>91.8</v>
      </c>
      <c r="N12" s="166">
        <v>92</v>
      </c>
      <c r="O12" s="166">
        <v>92.4</v>
      </c>
      <c r="P12" s="166">
        <v>92.5</v>
      </c>
      <c r="Q12" s="166">
        <v>92.6</v>
      </c>
      <c r="R12" s="166">
        <v>92.8</v>
      </c>
      <c r="S12" s="166">
        <v>93</v>
      </c>
      <c r="T12" s="39">
        <v>0.93</v>
      </c>
      <c r="U12" s="1" t="s">
        <v>34</v>
      </c>
    </row>
    <row r="13" spans="1:21">
      <c r="B13" s="31">
        <v>93.3</v>
      </c>
      <c r="C13" s="7">
        <v>95</v>
      </c>
      <c r="D13" s="34">
        <v>0.92</v>
      </c>
      <c r="E13" s="164"/>
      <c r="F13" s="9" t="s">
        <v>25</v>
      </c>
      <c r="G13" s="8" t="s">
        <v>35</v>
      </c>
      <c r="H13" s="166">
        <v>92</v>
      </c>
      <c r="I13" s="166">
        <v>92</v>
      </c>
      <c r="J13" s="166">
        <v>92</v>
      </c>
      <c r="K13" s="166">
        <v>92</v>
      </c>
      <c r="L13" s="166">
        <v>92</v>
      </c>
      <c r="M13" s="166">
        <v>92</v>
      </c>
      <c r="N13" s="166">
        <v>92</v>
      </c>
      <c r="O13" s="166">
        <v>92</v>
      </c>
      <c r="P13" s="166">
        <v>92</v>
      </c>
      <c r="Q13" s="166">
        <v>92</v>
      </c>
      <c r="R13" s="166">
        <v>92</v>
      </c>
      <c r="S13" s="166">
        <v>92</v>
      </c>
      <c r="T13" s="39">
        <v>0.92</v>
      </c>
      <c r="U13" s="1" t="s">
        <v>36</v>
      </c>
    </row>
    <row r="14" spans="1:21">
      <c r="B14" s="31">
        <v>91.34</v>
      </c>
      <c r="C14" s="7">
        <v>94.319698724764464</v>
      </c>
      <c r="D14" s="34">
        <v>0.94</v>
      </c>
      <c r="E14" s="164"/>
      <c r="F14" s="9" t="s">
        <v>25</v>
      </c>
      <c r="G14" s="8" t="s">
        <v>37</v>
      </c>
      <c r="H14" s="166">
        <v>92</v>
      </c>
      <c r="I14" s="166">
        <v>92.4</v>
      </c>
      <c r="J14" s="166">
        <v>92.8</v>
      </c>
      <c r="K14" s="166">
        <v>93</v>
      </c>
      <c r="L14" s="166">
        <v>93.2</v>
      </c>
      <c r="M14" s="166">
        <v>93.4</v>
      </c>
      <c r="N14" s="166">
        <v>93.5</v>
      </c>
      <c r="O14" s="166">
        <v>93.6</v>
      </c>
      <c r="P14" s="166">
        <v>93.7</v>
      </c>
      <c r="Q14" s="166">
        <v>93.8</v>
      </c>
      <c r="R14" s="166">
        <v>93.9</v>
      </c>
      <c r="S14" s="166">
        <v>94</v>
      </c>
      <c r="T14" s="41">
        <v>0.94</v>
      </c>
    </row>
    <row r="15" spans="1:21">
      <c r="B15" s="32">
        <v>93.3</v>
      </c>
      <c r="C15" s="4">
        <v>93.733100876679728</v>
      </c>
      <c r="D15" s="35">
        <v>0.93</v>
      </c>
      <c r="E15" s="164"/>
      <c r="F15" s="6" t="s">
        <v>25</v>
      </c>
      <c r="G15" s="5" t="s">
        <v>38</v>
      </c>
      <c r="H15" s="166">
        <v>92</v>
      </c>
      <c r="I15" s="166">
        <v>92.4</v>
      </c>
      <c r="J15" s="166">
        <v>92.8</v>
      </c>
      <c r="K15" s="166">
        <v>93</v>
      </c>
      <c r="L15" s="166">
        <v>93.2</v>
      </c>
      <c r="M15" s="166">
        <v>93.4</v>
      </c>
      <c r="N15" s="166">
        <v>93.5</v>
      </c>
      <c r="O15" s="166">
        <v>93.6</v>
      </c>
      <c r="P15" s="166">
        <v>93.7</v>
      </c>
      <c r="Q15" s="166">
        <v>93.8</v>
      </c>
      <c r="R15" s="166">
        <v>93.9</v>
      </c>
      <c r="S15" s="166">
        <v>94</v>
      </c>
      <c r="T15" s="41">
        <v>0.94</v>
      </c>
    </row>
    <row r="16" spans="1:21">
      <c r="B16" s="25"/>
      <c r="C16" s="2">
        <v>93.290183890768759</v>
      </c>
      <c r="D16" s="2"/>
      <c r="E16" s="167"/>
      <c r="F16" s="3" t="s">
        <v>25</v>
      </c>
      <c r="G16" s="3" t="s">
        <v>39</v>
      </c>
      <c r="H16" s="42">
        <v>91.047976173927864</v>
      </c>
      <c r="I16" s="2">
        <v>91.395274752879146</v>
      </c>
      <c r="J16" s="2">
        <v>91.743515539162189</v>
      </c>
      <c r="K16" s="2">
        <v>91.915461065513313</v>
      </c>
      <c r="L16" s="2">
        <v>92.126498004167644</v>
      </c>
      <c r="M16" s="2">
        <v>92.340618138192056</v>
      </c>
      <c r="N16" s="2">
        <v>92.517424521520141</v>
      </c>
      <c r="O16" s="2">
        <v>92.687393806646668</v>
      </c>
      <c r="P16" s="2">
        <v>92.827463329327642</v>
      </c>
      <c r="Q16" s="2">
        <v>92.985194655335576</v>
      </c>
      <c r="R16" s="2">
        <v>93.110495485491455</v>
      </c>
      <c r="S16" s="42">
        <v>93.242334715218448</v>
      </c>
    </row>
    <row r="17" spans="2:19" ht="29">
      <c r="F17" s="19" t="s">
        <v>25</v>
      </c>
      <c r="G17" s="168" t="s">
        <v>40</v>
      </c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</row>
    <row r="18" spans="2:19">
      <c r="I18" s="1"/>
      <c r="J18" s="20"/>
      <c r="L18" s="1"/>
      <c r="M18" s="20"/>
      <c r="O18" s="1"/>
      <c r="P18" s="20"/>
      <c r="R18" s="1"/>
      <c r="S18" s="20"/>
    </row>
    <row r="19" spans="2:19" ht="15" thickBot="1">
      <c r="B19" s="22"/>
      <c r="C19" s="13" t="s">
        <v>10</v>
      </c>
      <c r="D19" s="170"/>
      <c r="E19" s="27"/>
      <c r="F19" s="13" t="s">
        <v>41</v>
      </c>
      <c r="G19" s="13" t="s">
        <v>13</v>
      </c>
      <c r="H19" s="13" t="s">
        <v>14</v>
      </c>
      <c r="I19" s="13" t="s">
        <v>15</v>
      </c>
      <c r="J19" s="21" t="s">
        <v>16</v>
      </c>
      <c r="K19" s="13" t="s">
        <v>17</v>
      </c>
      <c r="L19" s="13" t="s">
        <v>18</v>
      </c>
      <c r="M19" s="21" t="s">
        <v>19</v>
      </c>
      <c r="N19" s="13" t="s">
        <v>20</v>
      </c>
      <c r="O19" s="13" t="s">
        <v>21</v>
      </c>
      <c r="P19" s="21" t="s">
        <v>22</v>
      </c>
      <c r="Q19" s="13" t="s">
        <v>23</v>
      </c>
      <c r="R19" s="13" t="s">
        <v>24</v>
      </c>
      <c r="S19" s="21" t="s">
        <v>10</v>
      </c>
    </row>
    <row r="20" spans="2:19" ht="15" thickTop="1">
      <c r="B20" s="23"/>
      <c r="C20" s="10">
        <v>80</v>
      </c>
      <c r="D20" s="164"/>
      <c r="E20" s="164"/>
      <c r="F20" s="9" t="s">
        <v>42</v>
      </c>
      <c r="G20" s="29" t="s">
        <v>26</v>
      </c>
      <c r="H20" s="36">
        <f>H5*1.002</f>
        <v>80.16</v>
      </c>
      <c r="I20" s="36">
        <f t="shared" ref="I20:S20" si="0">I5*1.002</f>
        <v>81.162000000000006</v>
      </c>
      <c r="J20" s="36">
        <f t="shared" si="0"/>
        <v>82.164000000000001</v>
      </c>
      <c r="K20" s="36">
        <f t="shared" si="0"/>
        <v>83.165999999999997</v>
      </c>
      <c r="L20" s="36">
        <f t="shared" si="0"/>
        <v>84.168000000000006</v>
      </c>
      <c r="M20" s="36">
        <f t="shared" si="0"/>
        <v>85.17</v>
      </c>
      <c r="N20" s="36">
        <f t="shared" si="0"/>
        <v>86.171999999999997</v>
      </c>
      <c r="O20" s="36">
        <f t="shared" si="0"/>
        <v>87.174000000000007</v>
      </c>
      <c r="P20" s="36">
        <f t="shared" si="0"/>
        <v>88.176000000000002</v>
      </c>
      <c r="Q20" s="36">
        <f t="shared" si="0"/>
        <v>89.177999999999997</v>
      </c>
      <c r="R20" s="36">
        <f t="shared" si="0"/>
        <v>89.679000000000002</v>
      </c>
      <c r="S20" s="36">
        <f t="shared" si="0"/>
        <v>90.18</v>
      </c>
    </row>
    <row r="21" spans="2:19">
      <c r="B21" s="24"/>
      <c r="C21" s="7">
        <v>93</v>
      </c>
      <c r="D21" s="164"/>
      <c r="E21" s="164"/>
      <c r="F21" s="9" t="s">
        <v>42</v>
      </c>
      <c r="G21" s="8" t="s">
        <v>27</v>
      </c>
      <c r="H21" s="36">
        <f t="shared" ref="H21:S30" si="1">H6*1.002</f>
        <v>91.182000000000002</v>
      </c>
      <c r="I21" s="36">
        <f t="shared" si="1"/>
        <v>91.282199999999989</v>
      </c>
      <c r="J21" s="36">
        <f t="shared" si="1"/>
        <v>91.382400000000004</v>
      </c>
      <c r="K21" s="36">
        <f t="shared" si="1"/>
        <v>91.482599999999991</v>
      </c>
      <c r="L21" s="36">
        <f t="shared" si="1"/>
        <v>91.582800000000006</v>
      </c>
      <c r="M21" s="36">
        <f t="shared" si="1"/>
        <v>91.683000000000007</v>
      </c>
      <c r="N21" s="36">
        <f t="shared" si="1"/>
        <v>91.783199999999994</v>
      </c>
      <c r="O21" s="36">
        <f t="shared" si="1"/>
        <v>91.883400000000009</v>
      </c>
      <c r="P21" s="36">
        <f t="shared" si="1"/>
        <v>91.983599999999996</v>
      </c>
      <c r="Q21" s="36">
        <f t="shared" si="1"/>
        <v>92.083800000000011</v>
      </c>
      <c r="R21" s="36">
        <f t="shared" si="1"/>
        <v>92.083800000000011</v>
      </c>
      <c r="S21" s="36">
        <f t="shared" si="1"/>
        <v>92.183999999999997</v>
      </c>
    </row>
    <row r="22" spans="2:19">
      <c r="B22" s="24"/>
      <c r="C22" s="7">
        <v>91.360357369179482</v>
      </c>
      <c r="D22" s="164"/>
      <c r="E22" s="164"/>
      <c r="F22" s="9" t="s">
        <v>42</v>
      </c>
      <c r="G22" s="8" t="s">
        <v>28</v>
      </c>
      <c r="H22" s="36">
        <f t="shared" si="1"/>
        <v>89.177999999999997</v>
      </c>
      <c r="I22" s="36">
        <f t="shared" si="1"/>
        <v>89.4786</v>
      </c>
      <c r="J22" s="36">
        <f t="shared" si="1"/>
        <v>89.679000000000002</v>
      </c>
      <c r="K22" s="36">
        <f t="shared" si="1"/>
        <v>89.979599999999991</v>
      </c>
      <c r="L22" s="36">
        <f t="shared" si="1"/>
        <v>90.18</v>
      </c>
      <c r="M22" s="36">
        <f t="shared" si="1"/>
        <v>90.380400000000009</v>
      </c>
      <c r="N22" s="36">
        <f t="shared" si="1"/>
        <v>90.580800000000011</v>
      </c>
      <c r="O22" s="36">
        <f t="shared" si="1"/>
        <v>90.781199999999998</v>
      </c>
      <c r="P22" s="36">
        <f t="shared" si="1"/>
        <v>90.881399999999999</v>
      </c>
      <c r="Q22" s="36">
        <f t="shared" si="1"/>
        <v>90.9816</v>
      </c>
      <c r="R22" s="36">
        <f t="shared" si="1"/>
        <v>91.081800000000001</v>
      </c>
      <c r="S22" s="36">
        <f t="shared" si="1"/>
        <v>91.182000000000002</v>
      </c>
    </row>
    <row r="23" spans="2:19">
      <c r="B23" s="24"/>
      <c r="C23" s="7">
        <v>90</v>
      </c>
      <c r="D23" s="164"/>
      <c r="E23" s="164"/>
      <c r="F23" s="9" t="s">
        <v>42</v>
      </c>
      <c r="G23" s="8" t="s">
        <v>29</v>
      </c>
      <c r="H23" s="36">
        <f t="shared" si="1"/>
        <v>85.17</v>
      </c>
      <c r="I23" s="36">
        <f t="shared" si="1"/>
        <v>85.671000000000006</v>
      </c>
      <c r="J23" s="36">
        <f t="shared" si="1"/>
        <v>86.171999999999997</v>
      </c>
      <c r="K23" s="36">
        <f t="shared" si="1"/>
        <v>86.673000000000002</v>
      </c>
      <c r="L23" s="36">
        <f t="shared" si="1"/>
        <v>87.174000000000007</v>
      </c>
      <c r="M23" s="36">
        <f t="shared" si="1"/>
        <v>87.674999999999997</v>
      </c>
      <c r="N23" s="36">
        <f t="shared" si="1"/>
        <v>88.176000000000002</v>
      </c>
      <c r="O23" s="36">
        <f t="shared" si="1"/>
        <v>88.677000000000007</v>
      </c>
      <c r="P23" s="36">
        <f t="shared" si="1"/>
        <v>89.177999999999997</v>
      </c>
      <c r="Q23" s="36">
        <f t="shared" si="1"/>
        <v>89.679000000000002</v>
      </c>
      <c r="R23" s="36">
        <f t="shared" si="1"/>
        <v>89.979599999999991</v>
      </c>
      <c r="S23" s="36">
        <f t="shared" si="1"/>
        <v>90.18</v>
      </c>
    </row>
    <row r="24" spans="2:19">
      <c r="B24" s="24"/>
      <c r="C24" s="7">
        <v>93.5</v>
      </c>
      <c r="D24" s="164"/>
      <c r="E24" s="164"/>
      <c r="F24" s="9" t="s">
        <v>42</v>
      </c>
      <c r="G24" s="8" t="s">
        <v>30</v>
      </c>
      <c r="H24" s="36">
        <f t="shared" si="1"/>
        <v>89.177999999999997</v>
      </c>
      <c r="I24" s="36">
        <f t="shared" si="1"/>
        <v>89.679000000000002</v>
      </c>
      <c r="J24" s="36">
        <f t="shared" si="1"/>
        <v>90.18</v>
      </c>
      <c r="K24" s="36">
        <f t="shared" si="1"/>
        <v>90.680999999999997</v>
      </c>
      <c r="L24" s="36">
        <f t="shared" si="1"/>
        <v>90.9816</v>
      </c>
      <c r="M24" s="36">
        <f t="shared" si="1"/>
        <v>91.182000000000002</v>
      </c>
      <c r="N24" s="36">
        <f t="shared" si="1"/>
        <v>91.382400000000004</v>
      </c>
      <c r="O24" s="36">
        <f t="shared" si="1"/>
        <v>91.582800000000006</v>
      </c>
      <c r="P24" s="36">
        <f t="shared" si="1"/>
        <v>91.783199999999994</v>
      </c>
      <c r="Q24" s="36">
        <f t="shared" si="1"/>
        <v>91.883400000000009</v>
      </c>
      <c r="R24" s="36">
        <f t="shared" si="1"/>
        <v>91.983599999999996</v>
      </c>
      <c r="S24" s="36">
        <f t="shared" si="1"/>
        <v>92.183999999999997</v>
      </c>
    </row>
    <row r="25" spans="2:19">
      <c r="B25" s="24"/>
      <c r="C25" s="7">
        <v>87.667984604889426</v>
      </c>
      <c r="D25" s="164"/>
      <c r="E25" s="164"/>
      <c r="F25" s="9" t="s">
        <v>42</v>
      </c>
      <c r="G25" s="8" t="s">
        <v>31</v>
      </c>
      <c r="H25" s="36">
        <f t="shared" si="1"/>
        <v>86.171999999999997</v>
      </c>
      <c r="I25" s="36">
        <f t="shared" si="1"/>
        <v>86.372399999999999</v>
      </c>
      <c r="J25" s="36">
        <f t="shared" si="1"/>
        <v>86.572800000000001</v>
      </c>
      <c r="K25" s="36">
        <f t="shared" si="1"/>
        <v>86.97359999999999</v>
      </c>
      <c r="L25" s="36">
        <f t="shared" si="1"/>
        <v>87.174000000000007</v>
      </c>
      <c r="M25" s="36">
        <f t="shared" si="1"/>
        <v>87.374400000000009</v>
      </c>
      <c r="N25" s="36">
        <f t="shared" si="1"/>
        <v>87.57480000000001</v>
      </c>
      <c r="O25" s="36">
        <f t="shared" si="1"/>
        <v>87.775199999999998</v>
      </c>
      <c r="P25" s="36">
        <f t="shared" si="1"/>
        <v>87.9756</v>
      </c>
      <c r="Q25" s="36">
        <f t="shared" si="1"/>
        <v>88.176000000000002</v>
      </c>
      <c r="R25" s="36">
        <f t="shared" si="1"/>
        <v>88.677000000000007</v>
      </c>
      <c r="S25" s="36">
        <f t="shared" si="1"/>
        <v>89.177999999999997</v>
      </c>
    </row>
    <row r="26" spans="2:19">
      <c r="B26" s="24"/>
      <c r="C26" s="7">
        <v>94.800000000000011</v>
      </c>
      <c r="D26" s="164"/>
      <c r="E26" s="164"/>
      <c r="F26" s="9" t="s">
        <v>42</v>
      </c>
      <c r="G26" s="8" t="s">
        <v>32</v>
      </c>
      <c r="H26" s="36">
        <f t="shared" si="1"/>
        <v>91.683000000000007</v>
      </c>
      <c r="I26" s="36">
        <f t="shared" si="1"/>
        <v>91.783199999999994</v>
      </c>
      <c r="J26" s="36">
        <f t="shared" si="1"/>
        <v>91.983599999999996</v>
      </c>
      <c r="K26" s="36">
        <f t="shared" si="1"/>
        <v>92.083800000000011</v>
      </c>
      <c r="L26" s="36">
        <f t="shared" si="1"/>
        <v>92.183999999999997</v>
      </c>
      <c r="M26" s="36">
        <f t="shared" si="1"/>
        <v>92.384399999999999</v>
      </c>
      <c r="N26" s="36">
        <f t="shared" si="1"/>
        <v>92.584800000000001</v>
      </c>
      <c r="O26" s="36">
        <f t="shared" si="1"/>
        <v>92.985599999999991</v>
      </c>
      <c r="P26" s="36">
        <f t="shared" si="1"/>
        <v>93.186000000000007</v>
      </c>
      <c r="Q26" s="36">
        <f t="shared" si="1"/>
        <v>93.686999999999998</v>
      </c>
      <c r="R26" s="36">
        <f t="shared" si="1"/>
        <v>93.9876</v>
      </c>
      <c r="S26" s="36">
        <f t="shared" si="1"/>
        <v>94.188000000000002</v>
      </c>
    </row>
    <row r="27" spans="2:19">
      <c r="B27" s="24"/>
      <c r="C27" s="7">
        <v>93.582605251688747</v>
      </c>
      <c r="D27" s="164"/>
      <c r="E27" s="164"/>
      <c r="F27" s="9" t="s">
        <v>42</v>
      </c>
      <c r="G27" s="8" t="s">
        <v>33</v>
      </c>
      <c r="H27" s="36">
        <f t="shared" si="1"/>
        <v>91.182000000000002</v>
      </c>
      <c r="I27" s="36">
        <f t="shared" si="1"/>
        <v>91.282199999999989</v>
      </c>
      <c r="J27" s="36">
        <f t="shared" si="1"/>
        <v>91.382400000000004</v>
      </c>
      <c r="K27" s="36">
        <f t="shared" si="1"/>
        <v>91.582800000000006</v>
      </c>
      <c r="L27" s="36">
        <f t="shared" si="1"/>
        <v>91.783199999999994</v>
      </c>
      <c r="M27" s="36">
        <f t="shared" si="1"/>
        <v>91.983599999999996</v>
      </c>
      <c r="N27" s="36">
        <f t="shared" si="1"/>
        <v>92.183999999999997</v>
      </c>
      <c r="O27" s="36">
        <f t="shared" si="1"/>
        <v>92.584800000000001</v>
      </c>
      <c r="P27" s="36">
        <f t="shared" si="1"/>
        <v>92.685000000000002</v>
      </c>
      <c r="Q27" s="36">
        <f t="shared" si="1"/>
        <v>92.785199999999989</v>
      </c>
      <c r="R27" s="36">
        <f t="shared" si="1"/>
        <v>92.985599999999991</v>
      </c>
      <c r="S27" s="36">
        <f t="shared" si="1"/>
        <v>93.186000000000007</v>
      </c>
    </row>
    <row r="28" spans="2:19">
      <c r="B28" s="24"/>
      <c r="C28" s="7">
        <v>95</v>
      </c>
      <c r="D28" s="164"/>
      <c r="E28" s="164"/>
      <c r="F28" s="9" t="s">
        <v>42</v>
      </c>
      <c r="G28" s="8" t="s">
        <v>35</v>
      </c>
      <c r="H28" s="36">
        <f t="shared" si="1"/>
        <v>92.183999999999997</v>
      </c>
      <c r="I28" s="36">
        <f t="shared" si="1"/>
        <v>92.183999999999997</v>
      </c>
      <c r="J28" s="36">
        <f t="shared" si="1"/>
        <v>92.183999999999997</v>
      </c>
      <c r="K28" s="36">
        <f t="shared" si="1"/>
        <v>92.183999999999997</v>
      </c>
      <c r="L28" s="36">
        <f t="shared" si="1"/>
        <v>92.183999999999997</v>
      </c>
      <c r="M28" s="36">
        <f t="shared" si="1"/>
        <v>92.183999999999997</v>
      </c>
      <c r="N28" s="36">
        <f t="shared" si="1"/>
        <v>92.183999999999997</v>
      </c>
      <c r="O28" s="36">
        <f t="shared" si="1"/>
        <v>92.183999999999997</v>
      </c>
      <c r="P28" s="36">
        <f t="shared" si="1"/>
        <v>92.183999999999997</v>
      </c>
      <c r="Q28" s="36">
        <f t="shared" si="1"/>
        <v>92.183999999999997</v>
      </c>
      <c r="R28" s="36">
        <f t="shared" si="1"/>
        <v>92.183999999999997</v>
      </c>
      <c r="S28" s="36">
        <f t="shared" si="1"/>
        <v>92.183999999999997</v>
      </c>
    </row>
    <row r="29" spans="2:19">
      <c r="B29" s="24"/>
      <c r="C29" s="7">
        <v>94.973720121767371</v>
      </c>
      <c r="D29" s="164"/>
      <c r="E29" s="164"/>
      <c r="F29" s="9" t="s">
        <v>42</v>
      </c>
      <c r="G29" s="8" t="s">
        <v>37</v>
      </c>
      <c r="H29" s="36">
        <f t="shared" si="1"/>
        <v>92.183999999999997</v>
      </c>
      <c r="I29" s="36">
        <f t="shared" si="1"/>
        <v>92.584800000000001</v>
      </c>
      <c r="J29" s="36">
        <f t="shared" si="1"/>
        <v>92.985599999999991</v>
      </c>
      <c r="K29" s="36">
        <f t="shared" si="1"/>
        <v>93.186000000000007</v>
      </c>
      <c r="L29" s="36">
        <f t="shared" si="1"/>
        <v>93.386400000000009</v>
      </c>
      <c r="M29" s="36">
        <f t="shared" si="1"/>
        <v>93.586800000000011</v>
      </c>
      <c r="N29" s="36">
        <f t="shared" si="1"/>
        <v>93.686999999999998</v>
      </c>
      <c r="O29" s="36">
        <f t="shared" si="1"/>
        <v>93.787199999999999</v>
      </c>
      <c r="P29" s="36">
        <f t="shared" si="1"/>
        <v>93.8874</v>
      </c>
      <c r="Q29" s="36">
        <f t="shared" si="1"/>
        <v>93.9876</v>
      </c>
      <c r="R29" s="36">
        <f t="shared" si="1"/>
        <v>94.087800000000001</v>
      </c>
      <c r="S29" s="36">
        <f t="shared" si="1"/>
        <v>94.188000000000002</v>
      </c>
    </row>
    <row r="30" spans="2:19">
      <c r="B30" s="26"/>
      <c r="C30" s="4">
        <v>94.375263766693294</v>
      </c>
      <c r="D30" s="164"/>
      <c r="E30" s="164"/>
      <c r="F30" s="28" t="s">
        <v>42</v>
      </c>
      <c r="G30" s="5" t="s">
        <v>38</v>
      </c>
      <c r="H30" s="36">
        <f t="shared" si="1"/>
        <v>92.183999999999997</v>
      </c>
      <c r="I30" s="36">
        <f t="shared" si="1"/>
        <v>92.584800000000001</v>
      </c>
      <c r="J30" s="36">
        <f t="shared" si="1"/>
        <v>92.985599999999991</v>
      </c>
      <c r="K30" s="36">
        <f t="shared" si="1"/>
        <v>93.186000000000007</v>
      </c>
      <c r="L30" s="36">
        <f t="shared" si="1"/>
        <v>93.386400000000009</v>
      </c>
      <c r="M30" s="36">
        <f t="shared" si="1"/>
        <v>93.586800000000011</v>
      </c>
      <c r="N30" s="36">
        <f t="shared" si="1"/>
        <v>93.686999999999998</v>
      </c>
      <c r="O30" s="36">
        <f t="shared" si="1"/>
        <v>93.787199999999999</v>
      </c>
      <c r="P30" s="36">
        <f t="shared" si="1"/>
        <v>93.8874</v>
      </c>
      <c r="Q30" s="36">
        <f t="shared" si="1"/>
        <v>93.9876</v>
      </c>
      <c r="R30" s="36">
        <f t="shared" si="1"/>
        <v>94.087800000000001</v>
      </c>
      <c r="S30" s="36">
        <f t="shared" si="1"/>
        <v>94.188000000000002</v>
      </c>
    </row>
    <row r="31" spans="2:19">
      <c r="B31" s="25"/>
      <c r="C31" s="2">
        <v>93.81</v>
      </c>
      <c r="D31" s="171"/>
      <c r="E31" s="167"/>
      <c r="F31" s="30" t="s">
        <v>42</v>
      </c>
      <c r="G31" s="3" t="s">
        <v>39</v>
      </c>
      <c r="H31" s="37">
        <v>91.051743111379409</v>
      </c>
      <c r="I31" s="37">
        <v>91.49330039925303</v>
      </c>
      <c r="J31" s="37">
        <v>91.912999435212114</v>
      </c>
      <c r="K31" s="37">
        <v>92.146675394599754</v>
      </c>
      <c r="L31" s="37">
        <v>92.414111144698296</v>
      </c>
      <c r="M31" s="37">
        <v>92.681188398629999</v>
      </c>
      <c r="N31" s="37">
        <v>92.973491734782371</v>
      </c>
      <c r="O31" s="37">
        <v>93.194564873196114</v>
      </c>
      <c r="P31" s="37">
        <v>93.409831911053843</v>
      </c>
      <c r="Q31" s="37">
        <v>93.577959412935172</v>
      </c>
      <c r="R31" s="37">
        <v>93.728315294514587</v>
      </c>
      <c r="S31" s="37">
        <v>93.861885035021274</v>
      </c>
    </row>
    <row r="32" spans="2:19" ht="29">
      <c r="F32" s="19" t="s">
        <v>43</v>
      </c>
      <c r="G32" s="168" t="s">
        <v>40</v>
      </c>
      <c r="H32" s="169">
        <v>78.400000000000006</v>
      </c>
      <c r="I32" s="169">
        <v>82.809999999999988</v>
      </c>
      <c r="J32" s="169">
        <v>84.11999999999999</v>
      </c>
      <c r="K32" s="169">
        <v>84.67</v>
      </c>
      <c r="L32" s="169">
        <v>85.570000000000007</v>
      </c>
      <c r="M32" s="169">
        <v>86.87</v>
      </c>
      <c r="N32" s="169">
        <v>88.47</v>
      </c>
      <c r="O32" s="169">
        <v>89.17</v>
      </c>
      <c r="P32" s="169">
        <v>89.97</v>
      </c>
      <c r="Q32" s="169"/>
      <c r="R32" s="169"/>
      <c r="S32" s="169"/>
    </row>
    <row r="35" spans="6:19">
      <c r="F35" s="172" t="s">
        <v>44</v>
      </c>
    </row>
    <row r="36" spans="6:19" ht="15" thickBot="1">
      <c r="F36" s="13" t="s">
        <v>41</v>
      </c>
      <c r="G36" s="13" t="s">
        <v>13</v>
      </c>
      <c r="H36" s="13" t="s">
        <v>14</v>
      </c>
      <c r="I36" s="13" t="s">
        <v>15</v>
      </c>
      <c r="J36" s="21" t="s">
        <v>16</v>
      </c>
      <c r="K36" s="13" t="s">
        <v>17</v>
      </c>
      <c r="L36" s="13" t="s">
        <v>18</v>
      </c>
      <c r="M36" s="21" t="s">
        <v>19</v>
      </c>
      <c r="N36" s="13" t="s">
        <v>20</v>
      </c>
      <c r="O36" s="13" t="s">
        <v>21</v>
      </c>
      <c r="P36" s="21" t="s">
        <v>22</v>
      </c>
      <c r="Q36" s="13" t="s">
        <v>23</v>
      </c>
      <c r="R36" s="13" t="s">
        <v>24</v>
      </c>
      <c r="S36" s="21" t="s">
        <v>10</v>
      </c>
    </row>
    <row r="37" spans="6:19" ht="15" thickTop="1">
      <c r="F37" s="9" t="s">
        <v>45</v>
      </c>
      <c r="G37" s="29" t="s">
        <v>26</v>
      </c>
      <c r="H37" s="173">
        <v>73.400000000000006</v>
      </c>
      <c r="I37" s="173">
        <v>73.28</v>
      </c>
      <c r="J37" s="173"/>
      <c r="K37" s="173">
        <v>70.66</v>
      </c>
      <c r="L37" s="173">
        <v>73.61</v>
      </c>
      <c r="M37" s="173">
        <v>73.040000000000006</v>
      </c>
      <c r="N37" s="173">
        <v>72.900000000000006</v>
      </c>
      <c r="O37" s="173">
        <v>72.13</v>
      </c>
      <c r="P37" s="173">
        <f>'[45]Detail By case'!$BF$10</f>
        <v>74.58</v>
      </c>
      <c r="Q37" s="173"/>
      <c r="R37" s="173"/>
      <c r="S37" s="173"/>
    </row>
    <row r="38" spans="6:19">
      <c r="F38" s="9" t="s">
        <v>45</v>
      </c>
      <c r="G38" s="8" t="s">
        <v>27</v>
      </c>
      <c r="H38" s="173">
        <v>92</v>
      </c>
      <c r="I38" s="173">
        <v>92.09</v>
      </c>
      <c r="J38" s="173">
        <v>92.33</v>
      </c>
      <c r="K38" s="173">
        <v>92.19</v>
      </c>
      <c r="L38" s="173">
        <v>91.97</v>
      </c>
      <c r="M38" s="173">
        <v>93.11</v>
      </c>
      <c r="N38" s="173">
        <v>93.26</v>
      </c>
      <c r="O38" s="173">
        <v>92.52</v>
      </c>
      <c r="P38" s="173">
        <f>'[45]Detail By case'!$BF$7</f>
        <v>93.54</v>
      </c>
      <c r="Q38" s="173"/>
      <c r="R38" s="173"/>
      <c r="S38" s="173"/>
    </row>
    <row r="39" spans="6:19">
      <c r="F39" s="9" t="s">
        <v>45</v>
      </c>
      <c r="G39" s="8" t="s">
        <v>28</v>
      </c>
      <c r="H39" s="173">
        <v>88.973294916603578</v>
      </c>
      <c r="I39" s="173">
        <v>85.569184649368736</v>
      </c>
      <c r="J39" s="173">
        <v>86.71</v>
      </c>
      <c r="K39" s="173">
        <v>86.76</v>
      </c>
      <c r="L39" s="173">
        <v>88.13</v>
      </c>
      <c r="M39" s="173">
        <v>89.51</v>
      </c>
      <c r="N39" s="173">
        <v>86.85</v>
      </c>
      <c r="O39" s="173">
        <v>83.92</v>
      </c>
      <c r="P39" s="173">
        <f>'[45]Detail By case'!$BF$6</f>
        <v>87.04</v>
      </c>
      <c r="Q39" s="173"/>
      <c r="R39" s="173"/>
      <c r="S39" s="173"/>
    </row>
    <row r="40" spans="6:19">
      <c r="F40" s="9" t="s">
        <v>45</v>
      </c>
      <c r="G40" s="8" t="s">
        <v>29</v>
      </c>
      <c r="H40" s="173"/>
      <c r="I40" s="173"/>
      <c r="J40" s="173"/>
      <c r="K40" s="173">
        <v>89.87</v>
      </c>
      <c r="L40" s="173"/>
      <c r="M40" s="173"/>
      <c r="N40" s="173"/>
      <c r="O40" s="173">
        <v>88.93</v>
      </c>
      <c r="P40" s="173">
        <f>'[45]Detail By case'!$BF$9</f>
        <v>81.94</v>
      </c>
      <c r="Q40" s="173"/>
      <c r="R40" s="173"/>
      <c r="S40" s="173"/>
    </row>
    <row r="41" spans="6:19">
      <c r="F41" s="9" t="s">
        <v>45</v>
      </c>
      <c r="G41" s="8" t="s">
        <v>30</v>
      </c>
      <c r="H41" s="173">
        <v>84.36</v>
      </c>
      <c r="I41" s="173">
        <v>80.94</v>
      </c>
      <c r="J41" s="173">
        <v>87.84</v>
      </c>
      <c r="K41" s="173">
        <v>87.84</v>
      </c>
      <c r="L41" s="173">
        <v>90.58</v>
      </c>
      <c r="M41" s="173">
        <v>87.43</v>
      </c>
      <c r="N41" s="173">
        <v>91.11</v>
      </c>
      <c r="O41" s="173">
        <v>87.35</v>
      </c>
      <c r="P41" s="173">
        <f>'[45]Detail By case'!$BF$8</f>
        <v>92.96</v>
      </c>
      <c r="Q41" s="173"/>
      <c r="R41" s="173"/>
      <c r="S41" s="173"/>
    </row>
    <row r="42" spans="6:19">
      <c r="F42" s="9" t="s">
        <v>45</v>
      </c>
      <c r="G42" s="8" t="s">
        <v>31</v>
      </c>
      <c r="H42" s="173">
        <v>83.21</v>
      </c>
      <c r="I42" s="173">
        <v>78.47</v>
      </c>
      <c r="J42" s="173">
        <v>82.07</v>
      </c>
      <c r="K42" s="173">
        <v>81.790000000000006</v>
      </c>
      <c r="L42" s="173">
        <v>82.03</v>
      </c>
      <c r="M42" s="173"/>
      <c r="N42" s="173"/>
      <c r="O42" s="173"/>
      <c r="P42" s="173"/>
      <c r="Q42" s="173"/>
      <c r="R42" s="173"/>
      <c r="S42" s="173"/>
    </row>
    <row r="43" spans="6:19">
      <c r="F43" s="9" t="s">
        <v>45</v>
      </c>
      <c r="G43" s="8" t="s">
        <v>32</v>
      </c>
      <c r="H43" s="173">
        <v>94.43</v>
      </c>
      <c r="I43" s="173">
        <v>93.27</v>
      </c>
      <c r="J43" s="173">
        <v>91.856739041330741</v>
      </c>
      <c r="K43" s="173">
        <v>90.94</v>
      </c>
      <c r="L43" s="173">
        <v>93.59</v>
      </c>
      <c r="M43" s="173">
        <v>93.69</v>
      </c>
      <c r="N43" s="173">
        <v>93.69</v>
      </c>
      <c r="O43" s="173">
        <v>92.5</v>
      </c>
      <c r="P43" s="173">
        <f>'[45]Detail By case'!$BF$20</f>
        <v>93.9</v>
      </c>
      <c r="Q43" s="173"/>
      <c r="R43" s="173"/>
      <c r="S43" s="173"/>
    </row>
    <row r="44" spans="6:19">
      <c r="F44" s="9" t="s">
        <v>45</v>
      </c>
      <c r="G44" s="8" t="s">
        <v>33</v>
      </c>
      <c r="H44" s="173">
        <v>92.38</v>
      </c>
      <c r="I44" s="173">
        <v>92.03</v>
      </c>
      <c r="J44" s="173">
        <v>91.52</v>
      </c>
      <c r="K44" s="173">
        <v>90.17</v>
      </c>
      <c r="L44" s="173">
        <v>90.67</v>
      </c>
      <c r="M44" s="173">
        <v>94.3</v>
      </c>
      <c r="N44" s="173">
        <v>95.81</v>
      </c>
      <c r="O44" s="173">
        <v>93.66</v>
      </c>
      <c r="P44" s="173">
        <f>'[45]Detail By case'!$BF$16</f>
        <v>92.66</v>
      </c>
      <c r="Q44" s="173"/>
      <c r="R44" s="173"/>
      <c r="S44" s="173"/>
    </row>
    <row r="45" spans="6:19">
      <c r="F45" s="9" t="s">
        <v>45</v>
      </c>
      <c r="G45" s="8" t="s">
        <v>35</v>
      </c>
      <c r="H45" s="173"/>
      <c r="I45" s="173"/>
      <c r="J45" s="173"/>
      <c r="K45" s="173"/>
      <c r="L45" s="173"/>
      <c r="M45" s="173"/>
      <c r="N45" s="173"/>
      <c r="O45" s="173">
        <v>93.47</v>
      </c>
      <c r="P45" s="173"/>
      <c r="Q45" s="173"/>
      <c r="R45" s="173"/>
      <c r="S45" s="173"/>
    </row>
    <row r="46" spans="6:19">
      <c r="F46" s="9" t="s">
        <v>45</v>
      </c>
      <c r="G46" s="8" t="s">
        <v>37</v>
      </c>
      <c r="H46" s="173">
        <v>93.87</v>
      </c>
      <c r="I46" s="173">
        <v>94.47</v>
      </c>
      <c r="J46" s="173">
        <v>94.96</v>
      </c>
      <c r="K46" s="173">
        <v>94.66</v>
      </c>
      <c r="L46" s="173">
        <v>94.72</v>
      </c>
      <c r="M46" s="173">
        <v>94.32</v>
      </c>
      <c r="N46" s="173">
        <v>93.4</v>
      </c>
      <c r="O46" s="173">
        <v>90.73</v>
      </c>
      <c r="P46" s="173">
        <f>'[45]Detail By case'!$BF$19</f>
        <v>91.94</v>
      </c>
      <c r="Q46" s="173"/>
      <c r="R46" s="173"/>
      <c r="S46" s="173"/>
    </row>
    <row r="47" spans="6:19">
      <c r="F47" s="6" t="s">
        <v>45</v>
      </c>
      <c r="G47" s="5" t="s">
        <v>38</v>
      </c>
      <c r="H47" s="173">
        <v>93.75</v>
      </c>
      <c r="I47" s="173">
        <v>91.83</v>
      </c>
      <c r="J47" s="173">
        <v>90.4</v>
      </c>
      <c r="K47" s="173">
        <v>89.9</v>
      </c>
      <c r="L47" s="173">
        <v>94.25</v>
      </c>
      <c r="M47" s="173">
        <v>94.1</v>
      </c>
      <c r="N47" s="173">
        <v>94.2</v>
      </c>
      <c r="O47" s="173">
        <v>94.31</v>
      </c>
      <c r="P47" s="173">
        <f>'[45]Detail By case'!$BF$17</f>
        <v>93.99</v>
      </c>
      <c r="Q47" s="173"/>
      <c r="R47" s="173"/>
      <c r="S47" s="173"/>
    </row>
    <row r="48" spans="6:19">
      <c r="F48" s="30" t="s">
        <v>42</v>
      </c>
      <c r="G48" s="3" t="s">
        <v>39</v>
      </c>
      <c r="H48" s="174">
        <v>91.886549640823418</v>
      </c>
      <c r="I48" s="174">
        <v>91.359328463356917</v>
      </c>
      <c r="J48" s="174">
        <v>91.327252906808084</v>
      </c>
      <c r="K48" s="174">
        <v>91.257835694955361</v>
      </c>
      <c r="L48" s="174">
        <v>92.734846324420275</v>
      </c>
      <c r="M48" s="174">
        <v>92.160147025698819</v>
      </c>
      <c r="N48" s="174">
        <v>92.131248203191362</v>
      </c>
      <c r="O48" s="174">
        <v>91.505367862425743</v>
      </c>
      <c r="P48" s="174">
        <f>'[45]Detail By case'!$BF$23</f>
        <v>91.756182323850226</v>
      </c>
      <c r="Q48" s="174"/>
      <c r="R48" s="174"/>
      <c r="S48" s="174"/>
    </row>
    <row r="49" spans="6:19" ht="29">
      <c r="F49" s="19" t="s">
        <v>45</v>
      </c>
      <c r="G49" s="168" t="s">
        <v>40</v>
      </c>
      <c r="H49" s="169">
        <v>78.41</v>
      </c>
      <c r="I49" s="169">
        <v>80.959999999999994</v>
      </c>
      <c r="J49" s="169">
        <v>83.16</v>
      </c>
      <c r="K49" s="169">
        <v>75.56</v>
      </c>
      <c r="L49" s="169"/>
      <c r="M49" s="169">
        <v>84.71</v>
      </c>
      <c r="N49" s="169"/>
      <c r="O49" s="169">
        <v>74.63</v>
      </c>
      <c r="P49" s="169"/>
      <c r="Q49" s="169"/>
      <c r="R49" s="169"/>
      <c r="S49" s="169"/>
    </row>
    <row r="50" spans="6:19">
      <c r="P50" s="180">
        <f>AVERAGE(H48:P48)</f>
        <v>91.79097316061447</v>
      </c>
    </row>
    <row r="52" spans="6:19">
      <c r="H52" s="1">
        <v>0.78400000000000003</v>
      </c>
      <c r="I52" s="20">
        <v>0.82809999999999995</v>
      </c>
      <c r="J52" s="1">
        <v>0.84119999999999995</v>
      </c>
      <c r="K52" s="1">
        <v>0.84670000000000001</v>
      </c>
      <c r="L52" s="20">
        <v>0.85570000000000002</v>
      </c>
      <c r="M52" s="1">
        <v>0.86870000000000003</v>
      </c>
      <c r="N52" s="1">
        <v>0.88470000000000004</v>
      </c>
      <c r="O52" s="20">
        <v>0.89170000000000005</v>
      </c>
      <c r="P52" s="1">
        <v>0.89970000000000006</v>
      </c>
    </row>
    <row r="53" spans="6:19">
      <c r="H53" s="1">
        <f>H52*100</f>
        <v>78.400000000000006</v>
      </c>
      <c r="I53" s="1">
        <f t="shared" ref="I53:P53" si="2">I52*100</f>
        <v>82.809999999999988</v>
      </c>
      <c r="J53" s="1">
        <f t="shared" si="2"/>
        <v>84.11999999999999</v>
      </c>
      <c r="K53" s="1">
        <f t="shared" si="2"/>
        <v>84.67</v>
      </c>
      <c r="L53" s="1">
        <f t="shared" si="2"/>
        <v>85.570000000000007</v>
      </c>
      <c r="M53" s="1">
        <f t="shared" si="2"/>
        <v>86.87</v>
      </c>
      <c r="N53" s="1">
        <f t="shared" si="2"/>
        <v>88.47</v>
      </c>
      <c r="O53" s="1">
        <f t="shared" si="2"/>
        <v>89.17</v>
      </c>
      <c r="P53" s="1">
        <f t="shared" si="2"/>
        <v>89.97</v>
      </c>
    </row>
  </sheetData>
  <pageMargins left="0.7" right="0.7" top="0.75" bottom="0.75" header="0.3" footer="0.3"/>
  <pageSetup paperSize="9" scale="96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92A1-3C31-4CB0-B5F5-5857B82C2510}">
  <sheetPr>
    <tabColor rgb="FF92D050"/>
  </sheetPr>
  <dimension ref="A1:AJ46"/>
  <sheetViews>
    <sheetView showGridLines="0" topLeftCell="S1" zoomScaleNormal="100" workbookViewId="0">
      <pane ySplit="4" topLeftCell="A5" activePane="bottomLeft" state="frozen"/>
      <selection pane="bottomLeft" activeCell="AA10" sqref="AA10"/>
    </sheetView>
  </sheetViews>
  <sheetFormatPr defaultColWidth="9.1796875" defaultRowHeight="14.5"/>
  <cols>
    <col min="1" max="1" width="3" style="1" customWidth="1"/>
    <col min="2" max="2" width="9.453125" style="1" bestFit="1" customWidth="1"/>
    <col min="3" max="4" width="9.1796875" style="1"/>
    <col min="5" max="5" width="2.7265625" style="1" customWidth="1"/>
    <col min="6" max="8" width="9.1796875" style="1" customWidth="1"/>
    <col min="9" max="9" width="9.1796875" style="20" customWidth="1"/>
    <col min="10" max="11" width="9.1796875" style="1" customWidth="1"/>
    <col min="12" max="12" width="9.1796875" style="20" customWidth="1"/>
    <col min="13" max="14" width="9.1796875" style="1" customWidth="1"/>
    <col min="15" max="15" width="9.1796875" style="20" customWidth="1"/>
    <col min="16" max="17" width="9.1796875" style="1" customWidth="1"/>
    <col min="18" max="18" width="9.1796875" style="20" customWidth="1"/>
    <col min="19" max="19" width="9.1796875" style="1" customWidth="1"/>
    <col min="20" max="20" width="2.26953125" style="1" customWidth="1"/>
    <col min="21" max="21" width="0.453125" style="159" customWidth="1"/>
    <col min="22" max="23" width="9.1796875" style="1" customWidth="1"/>
    <col min="24" max="24" width="9.54296875" style="1" bestFit="1" customWidth="1"/>
    <col min="25" max="25" width="9.54296875" style="20" bestFit="1" customWidth="1"/>
    <col min="26" max="27" width="9.54296875" style="1" bestFit="1" customWidth="1"/>
    <col min="28" max="28" width="9.54296875" style="20" bestFit="1" customWidth="1"/>
    <col min="29" max="30" width="9.54296875" style="1" bestFit="1" customWidth="1"/>
    <col min="31" max="31" width="9.54296875" style="20" bestFit="1" customWidth="1"/>
    <col min="32" max="33" width="9.54296875" style="1" bestFit="1" customWidth="1"/>
    <col min="34" max="34" width="9.54296875" style="20" bestFit="1" customWidth="1"/>
    <col min="35" max="35" width="9.54296875" style="1" bestFit="1" customWidth="1"/>
    <col min="36" max="16384" width="9.1796875" style="1"/>
  </cols>
  <sheetData>
    <row r="1" spans="1:36" ht="23.5">
      <c r="A1" s="16"/>
      <c r="D1" s="38"/>
      <c r="F1" s="16" t="s">
        <v>46</v>
      </c>
      <c r="I1" s="1"/>
      <c r="J1" s="20"/>
      <c r="L1" s="1"/>
      <c r="M1" s="20" t="s">
        <v>2</v>
      </c>
      <c r="O1" s="1"/>
      <c r="P1" s="20"/>
      <c r="Q1" s="15" t="s">
        <v>47</v>
      </c>
      <c r="R1" s="14"/>
      <c r="S1" s="20"/>
      <c r="V1" s="16" t="s">
        <v>46</v>
      </c>
      <c r="Y1" s="1"/>
      <c r="Z1" s="20"/>
      <c r="AB1" s="1"/>
      <c r="AC1" s="145" t="s">
        <v>2</v>
      </c>
      <c r="AE1" s="1"/>
      <c r="AF1" s="20"/>
      <c r="AG1" s="15" t="s">
        <v>47</v>
      </c>
      <c r="AH1" s="14"/>
      <c r="AI1" s="20"/>
    </row>
    <row r="2" spans="1:36" ht="23.5">
      <c r="A2" s="16"/>
      <c r="D2" s="38"/>
      <c r="F2" s="16"/>
      <c r="I2" s="1"/>
      <c r="J2" s="20"/>
      <c r="L2" s="1"/>
      <c r="M2" s="20"/>
      <c r="O2" s="1"/>
      <c r="P2" s="20"/>
      <c r="Q2" s="15" t="s">
        <v>48</v>
      </c>
      <c r="R2" s="14"/>
      <c r="S2" s="20"/>
      <c r="V2" s="16"/>
      <c r="Y2" s="1"/>
      <c r="Z2" s="20"/>
      <c r="AB2" s="1"/>
      <c r="AC2" s="20"/>
      <c r="AE2" s="1"/>
      <c r="AF2" s="20"/>
      <c r="AG2" s="15" t="s">
        <v>48</v>
      </c>
      <c r="AH2" s="14"/>
      <c r="AI2" s="20"/>
    </row>
    <row r="3" spans="1:36">
      <c r="B3" s="27" t="s">
        <v>49</v>
      </c>
      <c r="C3" s="27" t="s">
        <v>6</v>
      </c>
      <c r="D3" s="27" t="s">
        <v>5</v>
      </c>
      <c r="F3" s="1" t="s">
        <v>50</v>
      </c>
      <c r="I3" s="1"/>
      <c r="J3" s="20"/>
      <c r="L3" s="1"/>
      <c r="M3" s="20"/>
      <c r="O3" s="1"/>
      <c r="P3" s="216" t="s">
        <v>51</v>
      </c>
      <c r="Q3" s="216"/>
      <c r="R3" s="216"/>
      <c r="S3" s="216"/>
      <c r="Y3" s="1"/>
      <c r="Z3" s="20"/>
      <c r="AB3" s="1"/>
      <c r="AC3" s="20"/>
      <c r="AE3" s="1"/>
      <c r="AG3" s="145" t="s">
        <v>8</v>
      </c>
      <c r="AH3" s="1"/>
      <c r="AI3" s="20"/>
    </row>
    <row r="4" spans="1:36" ht="15" thickBot="1">
      <c r="B4" s="18" t="s">
        <v>10</v>
      </c>
      <c r="C4" s="18" t="s">
        <v>10</v>
      </c>
      <c r="D4" s="134">
        <v>45170</v>
      </c>
      <c r="F4" s="13" t="s">
        <v>41</v>
      </c>
      <c r="G4" s="45" t="s">
        <v>13</v>
      </c>
      <c r="H4" s="45" t="s">
        <v>14</v>
      </c>
      <c r="I4" s="45" t="s">
        <v>15</v>
      </c>
      <c r="J4" s="45" t="s">
        <v>16</v>
      </c>
      <c r="K4" s="45" t="s">
        <v>17</v>
      </c>
      <c r="L4" s="45" t="s">
        <v>18</v>
      </c>
      <c r="M4" s="45" t="s">
        <v>19</v>
      </c>
      <c r="N4" s="45" t="s">
        <v>20</v>
      </c>
      <c r="O4" s="45" t="s">
        <v>21</v>
      </c>
      <c r="P4" s="45" t="s">
        <v>22</v>
      </c>
      <c r="Q4" s="45" t="s">
        <v>23</v>
      </c>
      <c r="R4" s="45" t="s">
        <v>24</v>
      </c>
      <c r="S4" s="45" t="s">
        <v>10</v>
      </c>
      <c r="V4" s="13" t="s">
        <v>52</v>
      </c>
      <c r="W4" s="13" t="s">
        <v>13</v>
      </c>
      <c r="X4" s="13" t="s">
        <v>14</v>
      </c>
      <c r="Y4" s="13" t="s">
        <v>15</v>
      </c>
      <c r="Z4" s="45" t="s">
        <v>16</v>
      </c>
      <c r="AA4" s="13" t="s">
        <v>17</v>
      </c>
      <c r="AB4" s="13" t="s">
        <v>18</v>
      </c>
      <c r="AC4" s="45" t="s">
        <v>19</v>
      </c>
      <c r="AD4" s="13" t="s">
        <v>20</v>
      </c>
      <c r="AE4" s="13" t="s">
        <v>21</v>
      </c>
      <c r="AF4" s="21" t="s">
        <v>22</v>
      </c>
      <c r="AG4" s="13" t="s">
        <v>23</v>
      </c>
      <c r="AH4" s="13" t="s">
        <v>24</v>
      </c>
      <c r="AI4" s="21" t="s">
        <v>10</v>
      </c>
    </row>
    <row r="5" spans="1:36" ht="15" thickTop="1">
      <c r="B5" s="123">
        <v>72.08</v>
      </c>
      <c r="C5" s="124">
        <v>78.650000000000006</v>
      </c>
      <c r="D5" s="125">
        <v>74.540000000000006</v>
      </c>
      <c r="F5" s="9"/>
      <c r="G5" s="29" t="s">
        <v>26</v>
      </c>
      <c r="H5" s="140">
        <v>1366.6099681491194</v>
      </c>
      <c r="I5" s="140">
        <v>1301.5333029991577</v>
      </c>
      <c r="J5" s="140">
        <v>1496.7632984490315</v>
      </c>
      <c r="K5" s="140">
        <v>1288.7963182152998</v>
      </c>
      <c r="L5" s="140">
        <v>1350.1675714636474</v>
      </c>
      <c r="M5" s="140">
        <v>1350.1675714636474</v>
      </c>
      <c r="N5" s="140">
        <v>1346.5763667642225</v>
      </c>
      <c r="O5" s="140">
        <v>1474.8217350274815</v>
      </c>
      <c r="P5" s="140">
        <v>1410.699050895852</v>
      </c>
      <c r="Q5" s="140">
        <v>1445.8400454720334</v>
      </c>
      <c r="R5" s="140">
        <v>1514.6895714468926</v>
      </c>
      <c r="S5" s="140">
        <v>1514.6895714468926</v>
      </c>
      <c r="V5" s="12"/>
      <c r="W5" s="11" t="s">
        <v>26</v>
      </c>
      <c r="X5" s="142">
        <v>80</v>
      </c>
      <c r="Y5" s="142">
        <v>81</v>
      </c>
      <c r="Z5" s="142">
        <v>82</v>
      </c>
      <c r="AA5" s="142">
        <v>83</v>
      </c>
      <c r="AB5" s="142">
        <v>84</v>
      </c>
      <c r="AC5" s="142">
        <v>85</v>
      </c>
      <c r="AD5" s="142">
        <v>86</v>
      </c>
      <c r="AE5" s="142">
        <v>87</v>
      </c>
      <c r="AF5" s="142">
        <v>88</v>
      </c>
      <c r="AG5" s="142">
        <v>89</v>
      </c>
      <c r="AH5" s="142">
        <v>89.5</v>
      </c>
      <c r="AI5" s="163">
        <v>90</v>
      </c>
    </row>
    <row r="6" spans="1:36">
      <c r="B6" s="126">
        <v>89.84</v>
      </c>
      <c r="C6" s="127">
        <v>91.3</v>
      </c>
      <c r="D6" s="128">
        <v>93.65</v>
      </c>
      <c r="F6" s="9"/>
      <c r="G6" s="8" t="s">
        <v>27</v>
      </c>
      <c r="H6" s="140">
        <v>10445.048127774991</v>
      </c>
      <c r="I6" s="140">
        <v>9947.664883595231</v>
      </c>
      <c r="J6" s="140">
        <v>11439.814616134516</v>
      </c>
      <c r="K6" s="140">
        <v>9664.9781960438595</v>
      </c>
      <c r="L6" s="140">
        <v>10125.215252998329</v>
      </c>
      <c r="M6" s="140">
        <v>10125.215252998329</v>
      </c>
      <c r="N6" s="140">
        <v>10015.61767333904</v>
      </c>
      <c r="O6" s="140">
        <v>10969.486023180854</v>
      </c>
      <c r="P6" s="140">
        <v>10492.551848259947</v>
      </c>
      <c r="Q6" s="140">
        <v>10738.234539718957</v>
      </c>
      <c r="R6" s="140">
        <v>11249.579041610337</v>
      </c>
      <c r="S6" s="140">
        <v>11249.579041610337</v>
      </c>
      <c r="T6" s="39"/>
      <c r="U6" s="160"/>
      <c r="V6" s="9"/>
      <c r="W6" s="8" t="s">
        <v>27</v>
      </c>
      <c r="X6" s="143">
        <v>92.5</v>
      </c>
      <c r="Y6" s="143">
        <v>92.7</v>
      </c>
      <c r="Z6" s="143">
        <v>92.9</v>
      </c>
      <c r="AA6" s="143">
        <v>93</v>
      </c>
      <c r="AB6" s="143">
        <v>93.2</v>
      </c>
      <c r="AC6" s="143">
        <v>93.4</v>
      </c>
      <c r="AD6" s="143">
        <v>93.5</v>
      </c>
      <c r="AE6" s="143">
        <v>93.6</v>
      </c>
      <c r="AF6" s="143">
        <v>93.7</v>
      </c>
      <c r="AG6" s="143">
        <v>93.8</v>
      </c>
      <c r="AH6" s="143">
        <v>93.9</v>
      </c>
      <c r="AI6" s="143">
        <v>94</v>
      </c>
    </row>
    <row r="7" spans="1:36">
      <c r="B7" s="126">
        <v>87.94</v>
      </c>
      <c r="C7" s="127">
        <v>89.52</v>
      </c>
      <c r="D7" s="128">
        <v>89.15</v>
      </c>
      <c r="F7" s="9"/>
      <c r="G7" s="8" t="s">
        <v>28</v>
      </c>
      <c r="H7" s="140">
        <v>5541.4893627713464</v>
      </c>
      <c r="I7" s="140">
        <v>5277.6089169250927</v>
      </c>
      <c r="J7" s="140">
        <v>6069.2502544638537</v>
      </c>
      <c r="K7" s="140">
        <v>5703.3975672814959</v>
      </c>
      <c r="L7" s="140">
        <v>5974.9879276282345</v>
      </c>
      <c r="M7" s="140">
        <v>5974.9879276282345</v>
      </c>
      <c r="N7" s="140">
        <v>6203.5036219840176</v>
      </c>
      <c r="O7" s="140">
        <v>6794.3134907444028</v>
      </c>
      <c r="P7" s="140">
        <v>6498.9085563642093</v>
      </c>
      <c r="Q7" s="140">
        <v>6372.5681788803131</v>
      </c>
      <c r="R7" s="140">
        <v>6676.0238064460436</v>
      </c>
      <c r="S7" s="140">
        <v>6676.0238064460436</v>
      </c>
      <c r="T7" s="39"/>
      <c r="U7" s="160"/>
      <c r="V7" s="9"/>
      <c r="W7" s="8" t="s">
        <v>28</v>
      </c>
      <c r="X7" s="143">
        <v>89</v>
      </c>
      <c r="Y7" s="143">
        <v>89.3</v>
      </c>
      <c r="Z7" s="143">
        <v>89.5</v>
      </c>
      <c r="AA7" s="143">
        <v>89.8</v>
      </c>
      <c r="AB7" s="143">
        <v>90</v>
      </c>
      <c r="AC7" s="143">
        <v>90.2</v>
      </c>
      <c r="AD7" s="143">
        <v>90.4</v>
      </c>
      <c r="AE7" s="143">
        <v>90.6</v>
      </c>
      <c r="AF7" s="143">
        <v>90.7</v>
      </c>
      <c r="AG7" s="143">
        <v>90.8</v>
      </c>
      <c r="AH7" s="143">
        <v>90.9</v>
      </c>
      <c r="AI7" s="143">
        <v>91</v>
      </c>
    </row>
    <row r="8" spans="1:36">
      <c r="B8" s="126">
        <v>89.51</v>
      </c>
      <c r="C8" s="129">
        <v>88.11</v>
      </c>
      <c r="D8" s="128">
        <v>87.31</v>
      </c>
      <c r="F8" s="9"/>
      <c r="G8" s="8" t="s">
        <v>29</v>
      </c>
      <c r="H8" s="140">
        <v>213.58752013171136</v>
      </c>
      <c r="I8" s="140">
        <v>203.41668583972512</v>
      </c>
      <c r="J8" s="140">
        <v>233.92918871568384</v>
      </c>
      <c r="K8" s="140">
        <v>201.62932907596289</v>
      </c>
      <c r="L8" s="140">
        <v>211.23072569862777</v>
      </c>
      <c r="M8" s="140">
        <v>211.23072569862777</v>
      </c>
      <c r="N8" s="140">
        <v>210.48879959596732</v>
      </c>
      <c r="O8" s="140">
        <v>230.53535193844041</v>
      </c>
      <c r="P8" s="140">
        <v>220.51207576720384</v>
      </c>
      <c r="Q8" s="140">
        <v>225.68276844205181</v>
      </c>
      <c r="R8" s="140">
        <v>236.42956693929239</v>
      </c>
      <c r="S8" s="140">
        <v>236.42956693929239</v>
      </c>
      <c r="V8" s="9"/>
      <c r="W8" s="8" t="s">
        <v>29</v>
      </c>
      <c r="X8" s="143">
        <v>85</v>
      </c>
      <c r="Y8" s="143">
        <v>85.5</v>
      </c>
      <c r="Z8" s="143">
        <v>86</v>
      </c>
      <c r="AA8" s="143">
        <v>86.5</v>
      </c>
      <c r="AB8" s="143">
        <v>87</v>
      </c>
      <c r="AC8" s="143">
        <v>87.5</v>
      </c>
      <c r="AD8" s="143">
        <v>88</v>
      </c>
      <c r="AE8" s="143">
        <v>88.5</v>
      </c>
      <c r="AF8" s="143">
        <v>89</v>
      </c>
      <c r="AG8" s="143">
        <v>89.5</v>
      </c>
      <c r="AH8" s="143">
        <v>89.8</v>
      </c>
      <c r="AI8" s="143">
        <v>90</v>
      </c>
    </row>
    <row r="9" spans="1:36">
      <c r="B9" s="126">
        <v>92.42</v>
      </c>
      <c r="C9" s="129">
        <v>86.56</v>
      </c>
      <c r="D9" s="128">
        <v>93.39</v>
      </c>
      <c r="F9" s="9"/>
      <c r="G9" s="8" t="s">
        <v>30</v>
      </c>
      <c r="H9" s="140">
        <v>1861.1260407873854</v>
      </c>
      <c r="I9" s="140">
        <v>1772.5009912260812</v>
      </c>
      <c r="J9" s="140">
        <v>2038.3761399099933</v>
      </c>
      <c r="K9" s="140">
        <v>1786.2109707517902</v>
      </c>
      <c r="L9" s="140">
        <v>1871.2686360256853</v>
      </c>
      <c r="M9" s="140">
        <v>1871.2686360256853</v>
      </c>
      <c r="N9" s="140">
        <v>1854.5278637231922</v>
      </c>
      <c r="O9" s="140">
        <v>2031.1495650301626</v>
      </c>
      <c r="P9" s="140">
        <v>1942.8387143766772</v>
      </c>
      <c r="Q9" s="140">
        <v>1950.7979288115916</v>
      </c>
      <c r="R9" s="140">
        <v>2043.6930682788102</v>
      </c>
      <c r="S9" s="140">
        <v>2043.6930682788102</v>
      </c>
      <c r="T9" s="39"/>
      <c r="U9" s="160"/>
      <c r="V9" s="9"/>
      <c r="W9" s="8" t="s">
        <v>30</v>
      </c>
      <c r="X9" s="143">
        <v>89</v>
      </c>
      <c r="Y9" s="143">
        <v>89.5</v>
      </c>
      <c r="Z9" s="143">
        <v>90</v>
      </c>
      <c r="AA9" s="143">
        <v>90.5</v>
      </c>
      <c r="AB9" s="143">
        <v>90.8</v>
      </c>
      <c r="AC9" s="143">
        <v>91</v>
      </c>
      <c r="AD9" s="143">
        <v>91.2</v>
      </c>
      <c r="AE9" s="143">
        <v>91.4</v>
      </c>
      <c r="AF9" s="143">
        <v>91.6</v>
      </c>
      <c r="AG9" s="143">
        <v>91.7</v>
      </c>
      <c r="AH9" s="143">
        <v>91.8</v>
      </c>
      <c r="AI9" s="143">
        <v>92</v>
      </c>
      <c r="AJ9" s="144" t="s">
        <v>53</v>
      </c>
    </row>
    <row r="10" spans="1:36">
      <c r="B10" s="126">
        <v>83.03</v>
      </c>
      <c r="C10" s="129">
        <v>83.51</v>
      </c>
      <c r="D10" s="128">
        <v>81.67</v>
      </c>
      <c r="F10" s="9"/>
      <c r="G10" s="8" t="s">
        <v>31</v>
      </c>
      <c r="H10" s="140">
        <v>1423.4725544036805</v>
      </c>
      <c r="I10" s="140">
        <v>1355.6881470511244</v>
      </c>
      <c r="J10" s="140">
        <v>1559.0413691087924</v>
      </c>
      <c r="K10" s="140">
        <v>1515.002463297466</v>
      </c>
      <c r="L10" s="140">
        <v>1587.1454377402026</v>
      </c>
      <c r="M10" s="140">
        <v>1587.1454377402026</v>
      </c>
      <c r="N10" s="140">
        <v>1698.1871360740779</v>
      </c>
      <c r="O10" s="140">
        <v>1859.9192442716098</v>
      </c>
      <c r="P10" s="140">
        <v>1779.0531901728443</v>
      </c>
      <c r="Q10" s="140">
        <v>1732.3589020395723</v>
      </c>
      <c r="R10" s="140">
        <v>1814.8521830890759</v>
      </c>
      <c r="S10" s="140">
        <v>1814.8521830890759</v>
      </c>
      <c r="V10" s="9"/>
      <c r="W10" s="8" t="s">
        <v>31</v>
      </c>
      <c r="X10" s="143">
        <v>85</v>
      </c>
      <c r="Y10" s="143">
        <v>85</v>
      </c>
      <c r="Z10" s="143">
        <v>85</v>
      </c>
      <c r="AA10" s="143">
        <v>85.5</v>
      </c>
      <c r="AB10" s="143">
        <v>85.5</v>
      </c>
      <c r="AC10" s="143">
        <v>85.5</v>
      </c>
      <c r="AD10" s="143">
        <v>86</v>
      </c>
      <c r="AE10" s="143">
        <v>86</v>
      </c>
      <c r="AF10" s="143">
        <v>86</v>
      </c>
      <c r="AG10" s="143">
        <v>86.5</v>
      </c>
      <c r="AH10" s="143">
        <v>86.5</v>
      </c>
      <c r="AI10" s="143">
        <v>86.5</v>
      </c>
    </row>
    <row r="11" spans="1:36">
      <c r="B11" s="126">
        <v>94.02</v>
      </c>
      <c r="C11" s="129">
        <v>94.54</v>
      </c>
      <c r="D11" s="128">
        <v>93.8</v>
      </c>
      <c r="F11" s="9"/>
      <c r="G11" s="8" t="s">
        <v>32</v>
      </c>
      <c r="H11" s="140">
        <v>9664.3794041125366</v>
      </c>
      <c r="I11" s="140">
        <v>9204.1708610595579</v>
      </c>
      <c r="J11" s="140">
        <v>10584.796490218494</v>
      </c>
      <c r="K11" s="140">
        <v>10282.315881406319</v>
      </c>
      <c r="L11" s="140">
        <v>10771.949970997099</v>
      </c>
      <c r="M11" s="140">
        <v>10771.949970997099</v>
      </c>
      <c r="N11" s="140">
        <v>10811.737778019502</v>
      </c>
      <c r="O11" s="140">
        <v>11841.427090211837</v>
      </c>
      <c r="P11" s="140">
        <v>11326.582434115673</v>
      </c>
      <c r="Q11" s="140">
        <v>11004.134590630591</v>
      </c>
      <c r="R11" s="140">
        <v>11528.140999708236</v>
      </c>
      <c r="S11" s="140">
        <v>11528.140999708236</v>
      </c>
      <c r="V11" s="9"/>
      <c r="W11" s="8" t="s">
        <v>32</v>
      </c>
      <c r="X11" s="143">
        <v>91.5</v>
      </c>
      <c r="Y11" s="143">
        <v>91.6</v>
      </c>
      <c r="Z11" s="143">
        <v>91.8</v>
      </c>
      <c r="AA11" s="143">
        <v>91.9</v>
      </c>
      <c r="AB11" s="143">
        <v>92</v>
      </c>
      <c r="AC11" s="143">
        <v>92.2</v>
      </c>
      <c r="AD11" s="143">
        <v>92.4</v>
      </c>
      <c r="AE11" s="143">
        <v>92.8</v>
      </c>
      <c r="AF11" s="143">
        <v>93</v>
      </c>
      <c r="AG11" s="143">
        <v>93.5</v>
      </c>
      <c r="AH11" s="143">
        <v>93.8</v>
      </c>
      <c r="AI11" s="143">
        <v>94</v>
      </c>
    </row>
    <row r="12" spans="1:36">
      <c r="B12" s="126">
        <v>94.44</v>
      </c>
      <c r="C12" s="129">
        <v>88.23</v>
      </c>
      <c r="D12" s="128">
        <v>91.99</v>
      </c>
      <c r="F12" s="9"/>
      <c r="G12" s="8" t="s">
        <v>33</v>
      </c>
      <c r="H12" s="140">
        <v>4518.0529664360456</v>
      </c>
      <c r="I12" s="140">
        <v>4302.9075870819488</v>
      </c>
      <c r="J12" s="140">
        <v>4948.3437251442429</v>
      </c>
      <c r="K12" s="140">
        <v>4555.1319984692273</v>
      </c>
      <c r="L12" s="140">
        <v>4772.0430460153839</v>
      </c>
      <c r="M12" s="140">
        <v>4772.0430460153839</v>
      </c>
      <c r="N12" s="140">
        <v>4725.4169284655463</v>
      </c>
      <c r="O12" s="140">
        <v>5175.4566359384553</v>
      </c>
      <c r="P12" s="140">
        <v>4950.4367822019994</v>
      </c>
      <c r="Q12" s="140">
        <v>4813.3221181859935</v>
      </c>
      <c r="R12" s="140">
        <v>5042.5279333377075</v>
      </c>
      <c r="S12" s="140">
        <v>5042.5279333377075</v>
      </c>
      <c r="T12" s="39"/>
      <c r="U12" s="160"/>
      <c r="V12" s="9"/>
      <c r="W12" s="8" t="s">
        <v>33</v>
      </c>
      <c r="X12" s="143">
        <v>91</v>
      </c>
      <c r="Y12" s="143">
        <v>91.1</v>
      </c>
      <c r="Z12" s="143">
        <v>91.2</v>
      </c>
      <c r="AA12" s="143">
        <v>91.4</v>
      </c>
      <c r="AB12" s="143">
        <v>91.6</v>
      </c>
      <c r="AC12" s="143">
        <v>91.8</v>
      </c>
      <c r="AD12" s="143">
        <v>92</v>
      </c>
      <c r="AE12" s="143">
        <v>92.4</v>
      </c>
      <c r="AF12" s="143">
        <v>92.5</v>
      </c>
      <c r="AG12" s="143">
        <v>92.6</v>
      </c>
      <c r="AH12" s="143">
        <v>92.8</v>
      </c>
      <c r="AI12" s="143">
        <v>93</v>
      </c>
    </row>
    <row r="13" spans="1:36">
      <c r="B13" s="130">
        <v>94.73</v>
      </c>
      <c r="C13" s="129">
        <v>93.32</v>
      </c>
      <c r="D13" s="128">
        <v>93.47</v>
      </c>
      <c r="F13" s="9"/>
      <c r="G13" s="8" t="s">
        <v>35</v>
      </c>
      <c r="H13" s="140">
        <v>70.028043380639645</v>
      </c>
      <c r="I13" s="140">
        <v>66.693374648228229</v>
      </c>
      <c r="J13" s="140">
        <v>76.697380845462476</v>
      </c>
      <c r="K13" s="140">
        <v>69.110505625203388</v>
      </c>
      <c r="L13" s="140">
        <v>72.401482083546412</v>
      </c>
      <c r="M13" s="140">
        <v>72.401482083546412</v>
      </c>
      <c r="N13" s="140">
        <v>70.396971905045575</v>
      </c>
      <c r="O13" s="140">
        <v>77.101445419811824</v>
      </c>
      <c r="P13" s="140">
        <v>73.7492086624287</v>
      </c>
      <c r="Q13" s="140">
        <v>71.648143014531129</v>
      </c>
      <c r="R13" s="140">
        <v>75.059959348556418</v>
      </c>
      <c r="S13" s="140">
        <v>75.059959348556418</v>
      </c>
      <c r="T13" s="39"/>
      <c r="U13" s="160"/>
      <c r="V13" s="9"/>
      <c r="W13" s="8" t="s">
        <v>35</v>
      </c>
      <c r="X13" s="143">
        <v>93</v>
      </c>
      <c r="Y13" s="143">
        <v>93</v>
      </c>
      <c r="Z13" s="143">
        <v>93</v>
      </c>
      <c r="AA13" s="143">
        <v>93</v>
      </c>
      <c r="AB13" s="143">
        <v>93</v>
      </c>
      <c r="AC13" s="143">
        <v>93</v>
      </c>
      <c r="AD13" s="143">
        <v>93</v>
      </c>
      <c r="AE13" s="143">
        <v>93</v>
      </c>
      <c r="AF13" s="143">
        <v>93</v>
      </c>
      <c r="AG13" s="143">
        <v>93</v>
      </c>
      <c r="AH13" s="143">
        <v>93</v>
      </c>
      <c r="AI13" s="143">
        <v>93</v>
      </c>
    </row>
    <row r="14" spans="1:36">
      <c r="B14" s="126">
        <v>93.77</v>
      </c>
      <c r="C14" s="129">
        <v>94.74</v>
      </c>
      <c r="D14" s="146">
        <v>91.45</v>
      </c>
      <c r="F14" s="9"/>
      <c r="G14" s="8" t="s">
        <v>37</v>
      </c>
      <c r="H14" s="140">
        <v>21527.860549327172</v>
      </c>
      <c r="I14" s="140">
        <v>20502.724332692545</v>
      </c>
      <c r="J14" s="140">
        <v>23578.13298259642</v>
      </c>
      <c r="K14" s="140">
        <v>21583.656127973121</v>
      </c>
      <c r="L14" s="140">
        <v>22611.449276924221</v>
      </c>
      <c r="M14" s="140">
        <v>22611.449276924221</v>
      </c>
      <c r="N14" s="140">
        <v>22267.607344879136</v>
      </c>
      <c r="O14" s="140">
        <v>24388.331853915239</v>
      </c>
      <c r="P14" s="140">
        <v>23327.969599397184</v>
      </c>
      <c r="Q14" s="140">
        <v>22798.446452469907</v>
      </c>
      <c r="R14" s="140">
        <v>23884.08675973037</v>
      </c>
      <c r="S14" s="140">
        <v>23884.08675973037</v>
      </c>
      <c r="T14" s="41"/>
      <c r="U14" s="161"/>
      <c r="V14" s="9"/>
      <c r="W14" s="8" t="s">
        <v>37</v>
      </c>
      <c r="X14" s="143">
        <v>92</v>
      </c>
      <c r="Y14" s="143">
        <v>92.5</v>
      </c>
      <c r="Z14" s="143">
        <v>93</v>
      </c>
      <c r="AA14" s="143">
        <v>93.5</v>
      </c>
      <c r="AB14" s="143">
        <v>93.6</v>
      </c>
      <c r="AC14" s="143">
        <v>93.7</v>
      </c>
      <c r="AD14" s="143">
        <v>93.8</v>
      </c>
      <c r="AE14" s="143">
        <v>93.9</v>
      </c>
      <c r="AF14" s="143">
        <v>94</v>
      </c>
      <c r="AG14" s="143">
        <v>94.3</v>
      </c>
      <c r="AH14" s="143">
        <v>94.6</v>
      </c>
      <c r="AI14" s="143">
        <v>95</v>
      </c>
      <c r="AJ14" s="144" t="s">
        <v>54</v>
      </c>
    </row>
    <row r="15" spans="1:36">
      <c r="B15" s="131">
        <v>94.1</v>
      </c>
      <c r="C15" s="132">
        <v>92.85</v>
      </c>
      <c r="D15" s="133">
        <v>94.18</v>
      </c>
      <c r="F15" s="28"/>
      <c r="G15" s="5" t="s">
        <v>38</v>
      </c>
      <c r="H15" s="140">
        <v>24480.25439527418</v>
      </c>
      <c r="I15" s="140">
        <v>23314.527995499222</v>
      </c>
      <c r="J15" s="140">
        <v>26811.707194824106</v>
      </c>
      <c r="K15" s="140">
        <v>23407.446176256643</v>
      </c>
      <c r="L15" s="140">
        <v>24522.086470364102</v>
      </c>
      <c r="M15" s="140">
        <v>24522.086470364102</v>
      </c>
      <c r="N15" s="140">
        <v>24434.163644323395</v>
      </c>
      <c r="O15" s="140">
        <v>26761.226848544677</v>
      </c>
      <c r="P15" s="140">
        <v>25597.695246434039</v>
      </c>
      <c r="Q15" s="140">
        <v>25952.690649030192</v>
      </c>
      <c r="R15" s="140">
        <v>27188.533060888774</v>
      </c>
      <c r="S15" s="140">
        <v>27188.533060888774</v>
      </c>
      <c r="T15" s="41"/>
      <c r="U15" s="161"/>
      <c r="V15" s="6"/>
      <c r="W15" s="5" t="s">
        <v>38</v>
      </c>
      <c r="X15" s="138">
        <v>92</v>
      </c>
      <c r="Y15" s="138">
        <v>92.4</v>
      </c>
      <c r="Z15" s="138">
        <v>92.8</v>
      </c>
      <c r="AA15" s="138">
        <v>93</v>
      </c>
      <c r="AB15" s="138">
        <v>93.2</v>
      </c>
      <c r="AC15" s="138">
        <v>93.4</v>
      </c>
      <c r="AD15" s="138">
        <v>93.5</v>
      </c>
      <c r="AE15" s="138">
        <v>93.6</v>
      </c>
      <c r="AF15" s="138">
        <v>93.7</v>
      </c>
      <c r="AG15" s="138">
        <v>93.8</v>
      </c>
      <c r="AH15" s="138">
        <v>93.9</v>
      </c>
      <c r="AI15" s="138">
        <v>94</v>
      </c>
    </row>
    <row r="16" spans="1:36">
      <c r="B16" s="137">
        <v>92.454733649000445</v>
      </c>
      <c r="C16" s="135">
        <v>91.34</v>
      </c>
      <c r="D16" s="136">
        <v>92.09</v>
      </c>
      <c r="F16" s="30" t="s">
        <v>25</v>
      </c>
      <c r="G16" s="3" t="s">
        <v>39</v>
      </c>
      <c r="H16" s="141">
        <f>SUM(H5:H15)</f>
        <v>81111.908932548817</v>
      </c>
      <c r="I16" s="141">
        <f t="shared" ref="I16:S16" si="0">SUM(I5:I15)</f>
        <v>77249.437078617921</v>
      </c>
      <c r="J16" s="141">
        <f t="shared" si="0"/>
        <v>88836.852640410594</v>
      </c>
      <c r="K16" s="141">
        <f t="shared" si="0"/>
        <v>80057.675534396403</v>
      </c>
      <c r="L16" s="141">
        <f t="shared" si="0"/>
        <v>83869.945797939072</v>
      </c>
      <c r="M16" s="141">
        <f t="shared" si="0"/>
        <v>83869.945797939072</v>
      </c>
      <c r="N16" s="141">
        <f t="shared" si="0"/>
        <v>83638.224129073147</v>
      </c>
      <c r="O16" s="141">
        <f t="shared" si="0"/>
        <v>91603.769284222974</v>
      </c>
      <c r="P16" s="141">
        <f t="shared" si="0"/>
        <v>87620.99670664806</v>
      </c>
      <c r="Q16" s="141">
        <f t="shared" si="0"/>
        <v>87105.724316695734</v>
      </c>
      <c r="R16" s="141">
        <f t="shared" si="0"/>
        <v>91253.615950824096</v>
      </c>
      <c r="S16" s="141">
        <f t="shared" si="0"/>
        <v>91253.615950824096</v>
      </c>
      <c r="V16" s="3" t="s">
        <v>25</v>
      </c>
      <c r="W16" s="3" t="s">
        <v>39</v>
      </c>
      <c r="X16" s="42">
        <f>(X5*(H5/H16))+(X6*(H6/H16))+(X7*(H7/H16))+(X8*(H8/H16))+(X9*(H9/H16))+(X10*(H10/H16))+(X11*(H11/H16))+(X12*(H12/H16))+(X13*(H13/H16))+(X14*(H14/H16))+(X15*(H15/H16))</f>
        <v>91.332720957702435</v>
      </c>
      <c r="Y16" s="42">
        <f t="shared" ref="Y16:AI16" si="1">(Y5*(I5/I16))+(Y6*(I6/I16))+(Y7*(I7/I16))+(Y8*(I8/I16))+(Y9*(I9/I16))+(Y10*(I10/I16))+(Y11*(I11/I16))+(Y12*(I12/I16))+(Y13*(I13/I16))+(Y14*(I14/I16))+(Y15*(I15/I16))</f>
        <v>91.679522047986424</v>
      </c>
      <c r="Z16" s="42">
        <f t="shared" si="1"/>
        <v>92.031406103393067</v>
      </c>
      <c r="AA16" s="42">
        <f t="shared" si="1"/>
        <v>92.299450025662125</v>
      </c>
      <c r="AB16" s="42">
        <f t="shared" si="1"/>
        <v>92.471554226421873</v>
      </c>
      <c r="AC16" s="42">
        <f t="shared" si="1"/>
        <v>92.654270907314128</v>
      </c>
      <c r="AD16" s="42">
        <f t="shared" si="1"/>
        <v>92.784709308001766</v>
      </c>
      <c r="AE16" s="42">
        <f t="shared" si="1"/>
        <v>92.963455664326617</v>
      </c>
      <c r="AF16" s="42">
        <f t="shared" si="1"/>
        <v>93.09198188458231</v>
      </c>
      <c r="AG16" s="42">
        <f t="shared" si="1"/>
        <v>93.323494112156354</v>
      </c>
      <c r="AH16" s="42">
        <f t="shared" si="1"/>
        <v>93.511719316046197</v>
      </c>
      <c r="AI16" s="42">
        <f t="shared" si="1"/>
        <v>93.715465230116948</v>
      </c>
    </row>
    <row r="17" spans="2:35">
      <c r="H17" s="43"/>
      <c r="I17" s="1"/>
      <c r="J17" s="20"/>
      <c r="L17" s="1"/>
      <c r="M17" s="20"/>
      <c r="O17" s="1"/>
      <c r="P17" s="20"/>
      <c r="R17" s="1"/>
      <c r="S17" s="44"/>
      <c r="W17" s="38" t="s">
        <v>55</v>
      </c>
      <c r="X17" s="162">
        <v>91.8</v>
      </c>
      <c r="Y17" s="1"/>
      <c r="Z17" s="20"/>
      <c r="AB17" s="1"/>
      <c r="AC17" s="20"/>
      <c r="AE17" s="1"/>
      <c r="AF17" s="20"/>
      <c r="AH17" s="1"/>
      <c r="AI17" s="44"/>
    </row>
    <row r="18" spans="2:35">
      <c r="I18" s="1"/>
      <c r="J18" s="20"/>
      <c r="L18" s="1"/>
      <c r="M18" s="20"/>
      <c r="O18" s="1"/>
      <c r="P18" s="20"/>
      <c r="R18" s="1"/>
      <c r="S18" s="20"/>
      <c r="Y18" s="1"/>
      <c r="Z18" s="20"/>
      <c r="AB18" s="1"/>
      <c r="AC18" s="20"/>
      <c r="AE18" s="1"/>
      <c r="AF18" s="20"/>
      <c r="AH18" s="1"/>
      <c r="AI18" s="20"/>
    </row>
    <row r="19" spans="2:35" ht="15" thickBot="1">
      <c r="B19" s="147"/>
      <c r="C19" s="147"/>
      <c r="D19" s="147"/>
      <c r="E19" s="147"/>
      <c r="F19" s="147"/>
      <c r="G19" s="147"/>
      <c r="H19" s="147"/>
      <c r="I19" s="147"/>
      <c r="J19" s="149"/>
      <c r="K19" s="147"/>
      <c r="L19" s="147"/>
      <c r="M19" s="149"/>
      <c r="N19" s="147"/>
      <c r="O19" s="147"/>
      <c r="P19" s="149"/>
      <c r="Q19" s="147"/>
      <c r="R19" s="147"/>
      <c r="S19" s="149"/>
      <c r="V19" s="13" t="s">
        <v>41</v>
      </c>
      <c r="W19" s="13" t="s">
        <v>13</v>
      </c>
      <c r="X19" s="13" t="s">
        <v>14</v>
      </c>
      <c r="Y19" s="13" t="s">
        <v>15</v>
      </c>
      <c r="Z19" s="21" t="s">
        <v>16</v>
      </c>
      <c r="AA19" s="13" t="s">
        <v>17</v>
      </c>
      <c r="AB19" s="13" t="s">
        <v>18</v>
      </c>
      <c r="AC19" s="21" t="s">
        <v>19</v>
      </c>
      <c r="AD19" s="13" t="s">
        <v>20</v>
      </c>
      <c r="AE19" s="13" t="s">
        <v>21</v>
      </c>
      <c r="AF19" s="21" t="s">
        <v>22</v>
      </c>
      <c r="AG19" s="13" t="s">
        <v>23</v>
      </c>
      <c r="AH19" s="13" t="s">
        <v>24</v>
      </c>
      <c r="AI19" s="21" t="s">
        <v>10</v>
      </c>
    </row>
    <row r="20" spans="2:35" ht="15" thickTop="1">
      <c r="B20" s="148"/>
      <c r="C20" s="158" t="s">
        <v>56</v>
      </c>
      <c r="D20" s="148"/>
      <c r="E20" s="148"/>
      <c r="F20" s="147"/>
      <c r="G20" s="147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V20" s="9"/>
      <c r="W20" s="29" t="s">
        <v>26</v>
      </c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</row>
    <row r="21" spans="2:35">
      <c r="B21" s="157"/>
      <c r="C21" s="158" t="s">
        <v>57</v>
      </c>
      <c r="D21" s="148"/>
      <c r="E21" s="148"/>
      <c r="F21" s="147"/>
      <c r="G21" s="147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V21" s="9"/>
      <c r="W21" s="8" t="s">
        <v>27</v>
      </c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</row>
    <row r="22" spans="2:35">
      <c r="C22" s="158" t="s">
        <v>58</v>
      </c>
      <c r="D22" s="148"/>
      <c r="E22" s="148"/>
      <c r="F22" s="147"/>
      <c r="G22" s="147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V22" s="9"/>
      <c r="W22" s="8" t="s">
        <v>28</v>
      </c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</row>
    <row r="23" spans="2:35">
      <c r="C23" s="158" t="s">
        <v>59</v>
      </c>
      <c r="D23" s="148"/>
      <c r="E23" s="148"/>
      <c r="F23" s="147"/>
      <c r="G23" s="147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V23" s="9"/>
      <c r="W23" s="8" t="s">
        <v>29</v>
      </c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</row>
    <row r="24" spans="2:35">
      <c r="D24" s="148"/>
      <c r="E24" s="148"/>
      <c r="F24" s="147"/>
      <c r="G24" s="147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V24" s="9"/>
      <c r="W24" s="8" t="s">
        <v>30</v>
      </c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</row>
    <row r="25" spans="2:35">
      <c r="B25" s="148"/>
      <c r="C25" s="148"/>
      <c r="D25" s="148"/>
      <c r="E25" s="148"/>
      <c r="F25" s="147"/>
      <c r="G25" s="147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V25" s="9"/>
      <c r="W25" s="8" t="s">
        <v>31</v>
      </c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</row>
    <row r="26" spans="2:35">
      <c r="B26" s="148"/>
      <c r="C26" s="148"/>
      <c r="D26" s="148"/>
      <c r="E26" s="148"/>
      <c r="F26" s="147"/>
      <c r="G26" s="147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V26" s="9"/>
      <c r="W26" s="8" t="s">
        <v>32</v>
      </c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</row>
    <row r="27" spans="2:35">
      <c r="B27" s="148"/>
      <c r="C27" s="148"/>
      <c r="D27" s="148"/>
      <c r="E27" s="148"/>
      <c r="F27" s="147"/>
      <c r="G27" s="147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V27" s="9"/>
      <c r="W27" s="8" t="s">
        <v>33</v>
      </c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</row>
    <row r="28" spans="2:35">
      <c r="B28" s="148"/>
      <c r="C28" s="148"/>
      <c r="D28" s="148"/>
      <c r="E28" s="148"/>
      <c r="F28" s="147"/>
      <c r="G28" s="147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V28" s="9"/>
      <c r="W28" s="8" t="s">
        <v>35</v>
      </c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</row>
    <row r="29" spans="2:35">
      <c r="B29" s="148"/>
      <c r="C29" s="148"/>
      <c r="D29" s="148"/>
      <c r="E29" s="148"/>
      <c r="F29" s="147"/>
      <c r="G29" s="147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V29" s="9"/>
      <c r="W29" s="8" t="s">
        <v>37</v>
      </c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</row>
    <row r="30" spans="2:35">
      <c r="B30" s="148"/>
      <c r="C30" s="148"/>
      <c r="D30" s="148"/>
      <c r="E30" s="148"/>
      <c r="F30" s="151"/>
      <c r="G30" s="147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V30" s="28"/>
      <c r="W30" s="5" t="s">
        <v>38</v>
      </c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</row>
    <row r="31" spans="2:35">
      <c r="B31" s="148"/>
      <c r="C31" s="148"/>
      <c r="D31" s="148"/>
      <c r="E31" s="148"/>
      <c r="F31" s="151"/>
      <c r="G31" s="147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V31" s="30" t="s">
        <v>42</v>
      </c>
      <c r="W31" s="3" t="s">
        <v>39</v>
      </c>
      <c r="X31" s="37">
        <v>91.051743111379409</v>
      </c>
      <c r="Y31" s="37">
        <v>91.49330039925303</v>
      </c>
      <c r="Z31" s="37">
        <v>91.912999435212114</v>
      </c>
      <c r="AA31" s="37">
        <v>92.146675394599754</v>
      </c>
      <c r="AB31" s="37">
        <v>92.414111144698296</v>
      </c>
      <c r="AC31" s="37">
        <v>92.681188398629999</v>
      </c>
      <c r="AD31" s="37">
        <v>92.973491734782371</v>
      </c>
      <c r="AE31" s="37">
        <v>93.194564873196114</v>
      </c>
      <c r="AF31" s="37">
        <v>93.409831911053843</v>
      </c>
      <c r="AG31" s="37">
        <v>93.577959412935172</v>
      </c>
      <c r="AH31" s="37">
        <v>93.728315294514587</v>
      </c>
      <c r="AI31" s="37">
        <v>93.861885035021274</v>
      </c>
    </row>
    <row r="34" spans="22:35">
      <c r="V34" s="27"/>
      <c r="W34" s="27"/>
      <c r="X34" s="27"/>
      <c r="Y34" s="27"/>
      <c r="Z34" s="153"/>
      <c r="AA34" s="27"/>
      <c r="AB34" s="27"/>
      <c r="AC34" s="153"/>
      <c r="AD34" s="27"/>
      <c r="AE34" s="27"/>
      <c r="AF34" s="153"/>
      <c r="AG34" s="27"/>
      <c r="AH34" s="27"/>
      <c r="AI34" s="153"/>
    </row>
    <row r="35" spans="22:35">
      <c r="V35" s="38"/>
      <c r="W35" s="38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</row>
    <row r="36" spans="22:35">
      <c r="V36" s="38"/>
      <c r="W36" s="38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</row>
    <row r="37" spans="22:35">
      <c r="V37" s="38"/>
      <c r="W37" s="38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</row>
    <row r="38" spans="22:35">
      <c r="V38" s="38"/>
      <c r="W38" s="38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</row>
    <row r="39" spans="22:35">
      <c r="V39" s="38"/>
      <c r="W39" s="38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</row>
    <row r="40" spans="22:35">
      <c r="V40" s="38"/>
      <c r="W40" s="38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</row>
    <row r="41" spans="22:35">
      <c r="V41" s="38"/>
      <c r="W41" s="38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</row>
    <row r="42" spans="22:35">
      <c r="V42" s="38"/>
      <c r="W42" s="38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</row>
    <row r="43" spans="22:35">
      <c r="V43" s="38"/>
      <c r="W43" s="38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</row>
    <row r="44" spans="22:35">
      <c r="V44" s="38"/>
      <c r="W44" s="38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</row>
    <row r="45" spans="22:35">
      <c r="W45" s="38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</row>
    <row r="46" spans="22:35">
      <c r="V46" s="155"/>
      <c r="W46" s="27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</row>
  </sheetData>
  <mergeCells count="1">
    <mergeCell ref="P3:S3"/>
  </mergeCells>
  <pageMargins left="0.7" right="0.7" top="0.75" bottom="0.75" header="0.3" footer="0.3"/>
  <pageSetup paperSize="9" scale="96" orientation="landscape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906C-FF25-4315-A54C-F2C02431046D}">
  <sheetPr>
    <tabColor theme="1"/>
  </sheetPr>
  <dimension ref="A1:AK46"/>
  <sheetViews>
    <sheetView showGridLines="0" topLeftCell="S1" zoomScale="85" zoomScaleNormal="85" workbookViewId="0">
      <pane ySplit="4" topLeftCell="A5" activePane="bottomLeft" state="frozen"/>
      <selection activeCell="H244" sqref="H244"/>
      <selection pane="bottomLeft" activeCell="H244" sqref="H244"/>
    </sheetView>
  </sheetViews>
  <sheetFormatPr defaultColWidth="9.1796875" defaultRowHeight="14.5"/>
  <cols>
    <col min="1" max="1" width="3" style="1" customWidth="1"/>
    <col min="2" max="2" width="9.453125" style="1" bestFit="1" customWidth="1"/>
    <col min="3" max="4" width="9.1796875" style="1"/>
    <col min="5" max="5" width="2.7265625" style="1" customWidth="1"/>
    <col min="6" max="8" width="9.1796875" style="1" customWidth="1"/>
    <col min="9" max="9" width="9.1796875" style="20" customWidth="1"/>
    <col min="10" max="11" width="9.1796875" style="1" customWidth="1"/>
    <col min="12" max="12" width="9.1796875" style="20" customWidth="1"/>
    <col min="13" max="14" width="9.1796875" style="1" customWidth="1"/>
    <col min="15" max="15" width="9.1796875" style="20" customWidth="1"/>
    <col min="16" max="17" width="9.1796875" style="1" customWidth="1"/>
    <col min="18" max="18" width="9.1796875" style="20" customWidth="1"/>
    <col min="19" max="19" width="9.1796875" style="1" customWidth="1"/>
    <col min="20" max="20" width="2.26953125" style="1" customWidth="1"/>
    <col min="21" max="21" width="0.453125" style="159" customWidth="1"/>
    <col min="22" max="23" width="9.1796875" style="1" customWidth="1"/>
    <col min="24" max="24" width="9.54296875" style="1" bestFit="1" customWidth="1"/>
    <col min="25" max="25" width="9.54296875" style="20" bestFit="1" customWidth="1"/>
    <col min="26" max="27" width="9.54296875" style="1" bestFit="1" customWidth="1"/>
    <col min="28" max="28" width="9.54296875" style="20" bestFit="1" customWidth="1"/>
    <col min="29" max="30" width="9.54296875" style="1" bestFit="1" customWidth="1"/>
    <col min="31" max="31" width="9.54296875" style="20" bestFit="1" customWidth="1"/>
    <col min="32" max="33" width="9.54296875" style="1" bestFit="1" customWidth="1"/>
    <col min="34" max="34" width="9.54296875" style="20" bestFit="1" customWidth="1"/>
    <col min="35" max="35" width="9.54296875" style="1" bestFit="1" customWidth="1"/>
    <col min="36" max="36" width="9.1796875" style="38"/>
    <col min="37" max="16384" width="9.1796875" style="1"/>
  </cols>
  <sheetData>
    <row r="1" spans="1:37" ht="23.5">
      <c r="A1" s="16"/>
      <c r="D1" s="38"/>
      <c r="F1" s="16" t="s">
        <v>46</v>
      </c>
      <c r="I1" s="1"/>
      <c r="J1" s="20"/>
      <c r="L1" s="1"/>
      <c r="M1" s="20" t="s">
        <v>2</v>
      </c>
      <c r="O1" s="1"/>
      <c r="P1" s="20"/>
      <c r="Q1" s="15" t="s">
        <v>47</v>
      </c>
      <c r="R1" s="14"/>
      <c r="S1" s="20"/>
      <c r="V1" s="16" t="s">
        <v>46</v>
      </c>
      <c r="Y1" s="1"/>
      <c r="Z1" s="20"/>
      <c r="AB1" s="1"/>
      <c r="AC1" s="145" t="s">
        <v>2</v>
      </c>
      <c r="AE1" s="1"/>
      <c r="AF1" s="20"/>
      <c r="AG1" s="15" t="s">
        <v>47</v>
      </c>
      <c r="AH1" s="14"/>
      <c r="AI1" s="20"/>
      <c r="AJ1" s="15" t="s">
        <v>60</v>
      </c>
      <c r="AK1" s="175">
        <v>45204</v>
      </c>
    </row>
    <row r="2" spans="1:37" ht="23.5">
      <c r="A2" s="16"/>
      <c r="D2" s="38"/>
      <c r="F2" s="16"/>
      <c r="I2" s="1"/>
      <c r="J2" s="20"/>
      <c r="L2" s="1"/>
      <c r="M2" s="20"/>
      <c r="O2" s="1"/>
      <c r="P2" s="20"/>
      <c r="Q2" s="15" t="s">
        <v>48</v>
      </c>
      <c r="R2" s="14"/>
      <c r="S2" s="20"/>
      <c r="V2" s="16"/>
      <c r="Y2" s="1"/>
      <c r="Z2" s="20"/>
      <c r="AB2" s="1"/>
      <c r="AC2" s="20"/>
      <c r="AE2" s="1"/>
      <c r="AF2" s="20"/>
      <c r="AG2" s="15" t="s">
        <v>61</v>
      </c>
      <c r="AH2" s="175">
        <v>45191</v>
      </c>
      <c r="AI2" s="20"/>
    </row>
    <row r="3" spans="1:37">
      <c r="B3" s="27" t="s">
        <v>49</v>
      </c>
      <c r="C3" s="27" t="s">
        <v>6</v>
      </c>
      <c r="D3" s="27" t="s">
        <v>5</v>
      </c>
      <c r="F3" s="1" t="s">
        <v>50</v>
      </c>
      <c r="I3" s="1"/>
      <c r="J3" s="20"/>
      <c r="L3" s="1"/>
      <c r="M3" s="20"/>
      <c r="O3" s="1"/>
      <c r="P3" s="216" t="s">
        <v>51</v>
      </c>
      <c r="Q3" s="216"/>
      <c r="R3" s="216"/>
      <c r="S3" s="216"/>
      <c r="X3" s="179" t="s">
        <v>62</v>
      </c>
      <c r="Y3" s="179" t="s">
        <v>62</v>
      </c>
      <c r="Z3" s="20"/>
      <c r="AB3" s="1"/>
      <c r="AC3" s="20"/>
      <c r="AE3" s="1"/>
      <c r="AG3" s="145" t="s">
        <v>8</v>
      </c>
      <c r="AH3" s="1"/>
      <c r="AI3" s="20"/>
      <c r="AJ3" s="182" t="s">
        <v>63</v>
      </c>
    </row>
    <row r="4" spans="1:37" ht="15" thickBot="1">
      <c r="B4" s="18" t="s">
        <v>10</v>
      </c>
      <c r="C4" s="18" t="s">
        <v>10</v>
      </c>
      <c r="D4" s="134">
        <v>45170</v>
      </c>
      <c r="F4" s="13" t="s">
        <v>41</v>
      </c>
      <c r="G4" s="45" t="s">
        <v>13</v>
      </c>
      <c r="H4" s="45" t="s">
        <v>14</v>
      </c>
      <c r="I4" s="45" t="s">
        <v>15</v>
      </c>
      <c r="J4" s="45" t="s">
        <v>16</v>
      </c>
      <c r="K4" s="45" t="s">
        <v>17</v>
      </c>
      <c r="L4" s="45" t="s">
        <v>18</v>
      </c>
      <c r="M4" s="45" t="s">
        <v>19</v>
      </c>
      <c r="N4" s="45" t="s">
        <v>20</v>
      </c>
      <c r="O4" s="45" t="s">
        <v>21</v>
      </c>
      <c r="P4" s="45" t="s">
        <v>22</v>
      </c>
      <c r="Q4" s="45" t="s">
        <v>23</v>
      </c>
      <c r="R4" s="45" t="s">
        <v>24</v>
      </c>
      <c r="S4" s="45" t="s">
        <v>10</v>
      </c>
      <c r="V4" s="13" t="s">
        <v>52</v>
      </c>
      <c r="W4" s="13" t="s">
        <v>13</v>
      </c>
      <c r="X4" s="13" t="s">
        <v>14</v>
      </c>
      <c r="Y4" s="13" t="s">
        <v>15</v>
      </c>
      <c r="Z4" s="45" t="s">
        <v>16</v>
      </c>
      <c r="AA4" s="13" t="s">
        <v>17</v>
      </c>
      <c r="AB4" s="13" t="s">
        <v>18</v>
      </c>
      <c r="AC4" s="45" t="s">
        <v>19</v>
      </c>
      <c r="AD4" s="13" t="s">
        <v>20</v>
      </c>
      <c r="AE4" s="13" t="s">
        <v>21</v>
      </c>
      <c r="AF4" s="21" t="s">
        <v>22</v>
      </c>
      <c r="AG4" s="13" t="s">
        <v>23</v>
      </c>
      <c r="AH4" s="13" t="s">
        <v>24</v>
      </c>
      <c r="AI4" s="21" t="s">
        <v>10</v>
      </c>
    </row>
    <row r="5" spans="1:37" ht="15" thickTop="1">
      <c r="B5" s="123">
        <v>72.08</v>
      </c>
      <c r="C5" s="124">
        <v>78.650000000000006</v>
      </c>
      <c r="D5" s="125">
        <v>74.540000000000006</v>
      </c>
      <c r="F5" s="9"/>
      <c r="G5" s="29" t="s">
        <v>26</v>
      </c>
      <c r="H5" s="140">
        <v>1366.6099681491194</v>
      </c>
      <c r="I5" s="140">
        <v>1301.5333029991577</v>
      </c>
      <c r="J5" s="140">
        <v>1496.7632984490315</v>
      </c>
      <c r="K5" s="140">
        <v>1288.7963182152998</v>
      </c>
      <c r="L5" s="140">
        <v>1350.1675714636474</v>
      </c>
      <c r="M5" s="140">
        <v>1350.1675714636474</v>
      </c>
      <c r="N5" s="140">
        <v>1346.5763667642225</v>
      </c>
      <c r="O5" s="140">
        <v>1474.8217350274815</v>
      </c>
      <c r="P5" s="140">
        <v>1410.699050895852</v>
      </c>
      <c r="Q5" s="140">
        <v>1445.8400454720334</v>
      </c>
      <c r="R5" s="140">
        <v>1514.6895714468926</v>
      </c>
      <c r="S5" s="140">
        <v>1514.6895714468926</v>
      </c>
      <c r="V5" s="12"/>
      <c r="W5" s="11" t="s">
        <v>26</v>
      </c>
      <c r="X5" s="176">
        <v>80</v>
      </c>
      <c r="Y5" s="176">
        <v>81</v>
      </c>
      <c r="Z5" s="142">
        <v>82</v>
      </c>
      <c r="AA5" s="142">
        <v>83</v>
      </c>
      <c r="AB5" s="142">
        <v>84</v>
      </c>
      <c r="AC5" s="142">
        <v>85</v>
      </c>
      <c r="AD5" s="142">
        <v>86</v>
      </c>
      <c r="AE5" s="142">
        <v>87</v>
      </c>
      <c r="AF5" s="142">
        <v>88</v>
      </c>
      <c r="AG5" s="142">
        <v>89</v>
      </c>
      <c r="AH5" s="142">
        <v>89.5</v>
      </c>
      <c r="AI5" s="163">
        <v>90</v>
      </c>
    </row>
    <row r="6" spans="1:37">
      <c r="B6" s="126">
        <v>89.84</v>
      </c>
      <c r="C6" s="127">
        <v>91.3</v>
      </c>
      <c r="D6" s="128">
        <v>93.65</v>
      </c>
      <c r="F6" s="9"/>
      <c r="G6" s="8" t="s">
        <v>27</v>
      </c>
      <c r="H6" s="140">
        <v>10445.048127774991</v>
      </c>
      <c r="I6" s="140">
        <v>9947.664883595231</v>
      </c>
      <c r="J6" s="140">
        <v>11439.814616134516</v>
      </c>
      <c r="K6" s="140">
        <v>9664.9781960438595</v>
      </c>
      <c r="L6" s="140">
        <v>10125.215252998329</v>
      </c>
      <c r="M6" s="140">
        <v>10125.215252998329</v>
      </c>
      <c r="N6" s="140">
        <v>10015.61767333904</v>
      </c>
      <c r="O6" s="140">
        <v>10969.486023180854</v>
      </c>
      <c r="P6" s="140">
        <v>10492.551848259947</v>
      </c>
      <c r="Q6" s="140">
        <v>10738.234539718957</v>
      </c>
      <c r="R6" s="140">
        <v>11249.579041610337</v>
      </c>
      <c r="S6" s="140">
        <v>11249.579041610337</v>
      </c>
      <c r="T6" s="39"/>
      <c r="U6" s="160"/>
      <c r="V6" s="9"/>
      <c r="W6" s="8" t="s">
        <v>27</v>
      </c>
      <c r="X6" s="177">
        <v>92.7</v>
      </c>
      <c r="Y6" s="177">
        <v>92.8</v>
      </c>
      <c r="Z6" s="143">
        <v>92.9</v>
      </c>
      <c r="AA6" s="143">
        <v>93</v>
      </c>
      <c r="AB6" s="143">
        <v>93.2</v>
      </c>
      <c r="AC6" s="143">
        <v>93.4</v>
      </c>
      <c r="AD6" s="143">
        <v>93.5</v>
      </c>
      <c r="AE6" s="143">
        <v>93.6</v>
      </c>
      <c r="AF6" s="143">
        <v>93.7</v>
      </c>
      <c r="AG6" s="143">
        <v>93.8</v>
      </c>
      <c r="AH6" s="143">
        <v>93.9</v>
      </c>
      <c r="AI6" s="143">
        <v>94</v>
      </c>
      <c r="AJ6" s="181">
        <v>93.5</v>
      </c>
    </row>
    <row r="7" spans="1:37">
      <c r="B7" s="126">
        <v>87.94</v>
      </c>
      <c r="C7" s="127">
        <v>89.52</v>
      </c>
      <c r="D7" s="128">
        <v>89.15</v>
      </c>
      <c r="F7" s="9"/>
      <c r="G7" s="8" t="s">
        <v>28</v>
      </c>
      <c r="H7" s="140">
        <v>5541.4893627713464</v>
      </c>
      <c r="I7" s="140">
        <v>5277.6089169250927</v>
      </c>
      <c r="J7" s="140">
        <v>6069.2502544638537</v>
      </c>
      <c r="K7" s="140">
        <v>5703.3975672814959</v>
      </c>
      <c r="L7" s="140">
        <v>5974.9879276282345</v>
      </c>
      <c r="M7" s="140">
        <v>5974.9879276282345</v>
      </c>
      <c r="N7" s="140">
        <v>6203.5036219840176</v>
      </c>
      <c r="O7" s="140">
        <v>6794.3134907444028</v>
      </c>
      <c r="P7" s="140">
        <v>6498.9085563642093</v>
      </c>
      <c r="Q7" s="140">
        <v>6372.5681788803131</v>
      </c>
      <c r="R7" s="140">
        <v>6676.0238064460436</v>
      </c>
      <c r="S7" s="140">
        <v>6676.0238064460436</v>
      </c>
      <c r="T7" s="39"/>
      <c r="U7" s="160"/>
      <c r="V7" s="9"/>
      <c r="W7" s="8" t="s">
        <v>28</v>
      </c>
      <c r="X7" s="177">
        <v>89.3</v>
      </c>
      <c r="Y7" s="177">
        <v>89.4</v>
      </c>
      <c r="Z7" s="143">
        <v>89.5</v>
      </c>
      <c r="AA7" s="143">
        <v>89.8</v>
      </c>
      <c r="AB7" s="143">
        <v>90</v>
      </c>
      <c r="AC7" s="143">
        <v>90.2</v>
      </c>
      <c r="AD7" s="143">
        <v>90.4</v>
      </c>
      <c r="AE7" s="143">
        <v>90.6</v>
      </c>
      <c r="AF7" s="143">
        <v>90.7</v>
      </c>
      <c r="AG7" s="143">
        <v>90.8</v>
      </c>
      <c r="AH7" s="143">
        <v>90.9</v>
      </c>
      <c r="AI7" s="143">
        <v>91</v>
      </c>
    </row>
    <row r="8" spans="1:37">
      <c r="B8" s="126">
        <v>89.51</v>
      </c>
      <c r="C8" s="129">
        <v>88.11</v>
      </c>
      <c r="D8" s="128">
        <v>87.31</v>
      </c>
      <c r="F8" s="9"/>
      <c r="G8" s="8" t="s">
        <v>29</v>
      </c>
      <c r="H8" s="140">
        <v>213.58752013171136</v>
      </c>
      <c r="I8" s="140">
        <v>203.41668583972512</v>
      </c>
      <c r="J8" s="140">
        <v>233.92918871568384</v>
      </c>
      <c r="K8" s="140">
        <v>201.62932907596289</v>
      </c>
      <c r="L8" s="140">
        <v>211.23072569862777</v>
      </c>
      <c r="M8" s="140">
        <v>211.23072569862777</v>
      </c>
      <c r="N8" s="140">
        <v>210.48879959596732</v>
      </c>
      <c r="O8" s="140">
        <v>230.53535193844041</v>
      </c>
      <c r="P8" s="140">
        <v>220.51207576720384</v>
      </c>
      <c r="Q8" s="140">
        <v>225.68276844205181</v>
      </c>
      <c r="R8" s="140">
        <v>236.42956693929239</v>
      </c>
      <c r="S8" s="140">
        <v>236.42956693929239</v>
      </c>
      <c r="V8" s="9"/>
      <c r="W8" s="8" t="s">
        <v>29</v>
      </c>
      <c r="X8" s="177">
        <v>85.5</v>
      </c>
      <c r="Y8" s="177">
        <v>85.5</v>
      </c>
      <c r="Z8" s="143">
        <v>86</v>
      </c>
      <c r="AA8" s="143">
        <v>86.5</v>
      </c>
      <c r="AB8" s="143">
        <v>87</v>
      </c>
      <c r="AC8" s="143">
        <v>87.5</v>
      </c>
      <c r="AD8" s="143">
        <v>88</v>
      </c>
      <c r="AE8" s="143">
        <v>88.5</v>
      </c>
      <c r="AF8" s="143">
        <v>89</v>
      </c>
      <c r="AG8" s="143">
        <v>89.5</v>
      </c>
      <c r="AH8" s="143">
        <v>89.8</v>
      </c>
      <c r="AI8" s="143">
        <v>90</v>
      </c>
    </row>
    <row r="9" spans="1:37">
      <c r="B9" s="126">
        <v>92.42</v>
      </c>
      <c r="C9" s="129">
        <v>86.56</v>
      </c>
      <c r="D9" s="128">
        <v>93.39</v>
      </c>
      <c r="F9" s="9"/>
      <c r="G9" s="8" t="s">
        <v>30</v>
      </c>
      <c r="H9" s="140">
        <v>1861.1260407873854</v>
      </c>
      <c r="I9" s="140">
        <v>1772.5009912260812</v>
      </c>
      <c r="J9" s="140">
        <v>2038.3761399099933</v>
      </c>
      <c r="K9" s="140">
        <v>1786.2109707517902</v>
      </c>
      <c r="L9" s="140">
        <v>1871.2686360256853</v>
      </c>
      <c r="M9" s="140">
        <v>1871.2686360256853</v>
      </c>
      <c r="N9" s="140">
        <v>1854.5278637231922</v>
      </c>
      <c r="O9" s="140">
        <v>2031.1495650301626</v>
      </c>
      <c r="P9" s="140">
        <v>1942.8387143766772</v>
      </c>
      <c r="Q9" s="140">
        <v>1950.7979288115916</v>
      </c>
      <c r="R9" s="140">
        <v>2043.6930682788102</v>
      </c>
      <c r="S9" s="140">
        <v>2043.6930682788102</v>
      </c>
      <c r="T9" s="39"/>
      <c r="U9" s="160"/>
      <c r="V9" s="9"/>
      <c r="W9" s="8" t="s">
        <v>30</v>
      </c>
      <c r="X9" s="177">
        <v>89.5</v>
      </c>
      <c r="Y9" s="177">
        <v>89.5</v>
      </c>
      <c r="Z9" s="143">
        <v>90</v>
      </c>
      <c r="AA9" s="143">
        <v>90.5</v>
      </c>
      <c r="AB9" s="143">
        <v>90.8</v>
      </c>
      <c r="AC9" s="143">
        <v>91</v>
      </c>
      <c r="AD9" s="143">
        <v>91.2</v>
      </c>
      <c r="AE9" s="143">
        <v>91.4</v>
      </c>
      <c r="AF9" s="143">
        <v>91.6</v>
      </c>
      <c r="AG9" s="143">
        <v>91.7</v>
      </c>
      <c r="AH9" s="143">
        <v>91.8</v>
      </c>
      <c r="AI9" s="143">
        <v>92</v>
      </c>
      <c r="AJ9" s="43" t="s">
        <v>53</v>
      </c>
    </row>
    <row r="10" spans="1:37">
      <c r="B10" s="126">
        <v>83.03</v>
      </c>
      <c r="C10" s="129">
        <v>83.51</v>
      </c>
      <c r="D10" s="128">
        <v>81.67</v>
      </c>
      <c r="F10" s="9"/>
      <c r="G10" s="8" t="s">
        <v>31</v>
      </c>
      <c r="H10" s="140">
        <v>1423.4725544036805</v>
      </c>
      <c r="I10" s="140">
        <v>1355.6881470511244</v>
      </c>
      <c r="J10" s="140">
        <v>1559.0413691087924</v>
      </c>
      <c r="K10" s="140">
        <v>1515.002463297466</v>
      </c>
      <c r="L10" s="140">
        <v>1587.1454377402026</v>
      </c>
      <c r="M10" s="140">
        <v>1587.1454377402026</v>
      </c>
      <c r="N10" s="140">
        <v>1698.1871360740779</v>
      </c>
      <c r="O10" s="140">
        <v>1859.9192442716098</v>
      </c>
      <c r="P10" s="140">
        <v>1779.0531901728443</v>
      </c>
      <c r="Q10" s="140">
        <v>1732.3589020395723</v>
      </c>
      <c r="R10" s="140">
        <v>1814.8521830890759</v>
      </c>
      <c r="S10" s="140">
        <v>1814.8521830890759</v>
      </c>
      <c r="V10" s="9"/>
      <c r="W10" s="8" t="s">
        <v>31</v>
      </c>
      <c r="X10" s="177">
        <v>85</v>
      </c>
      <c r="Y10" s="177">
        <v>85</v>
      </c>
      <c r="Z10" s="143">
        <v>85</v>
      </c>
      <c r="AA10" s="143">
        <v>85.5</v>
      </c>
      <c r="AB10" s="143">
        <v>85.5</v>
      </c>
      <c r="AC10" s="143">
        <v>85.5</v>
      </c>
      <c r="AD10" s="143">
        <v>86</v>
      </c>
      <c r="AE10" s="143">
        <v>86</v>
      </c>
      <c r="AF10" s="143">
        <v>86</v>
      </c>
      <c r="AG10" s="143">
        <v>86.5</v>
      </c>
      <c r="AH10" s="143">
        <v>86.5</v>
      </c>
      <c r="AI10" s="143">
        <v>86.5</v>
      </c>
    </row>
    <row r="11" spans="1:37">
      <c r="B11" s="126">
        <v>94.02</v>
      </c>
      <c r="C11" s="129">
        <v>94.54</v>
      </c>
      <c r="D11" s="128">
        <v>93.8</v>
      </c>
      <c r="F11" s="9"/>
      <c r="G11" s="8" t="s">
        <v>32</v>
      </c>
      <c r="H11" s="140">
        <v>9664.3794041125366</v>
      </c>
      <c r="I11" s="140">
        <v>9204.1708610595579</v>
      </c>
      <c r="J11" s="140">
        <v>10584.796490218494</v>
      </c>
      <c r="K11" s="140">
        <v>10282.315881406319</v>
      </c>
      <c r="L11" s="140">
        <v>10771.949970997099</v>
      </c>
      <c r="M11" s="140">
        <v>10771.949970997099</v>
      </c>
      <c r="N11" s="140">
        <v>10811.737778019502</v>
      </c>
      <c r="O11" s="140">
        <v>11841.427090211837</v>
      </c>
      <c r="P11" s="140">
        <v>11326.582434115673</v>
      </c>
      <c r="Q11" s="140">
        <v>11004.134590630591</v>
      </c>
      <c r="R11" s="140">
        <v>11528.140999708236</v>
      </c>
      <c r="S11" s="140">
        <v>11528.140999708236</v>
      </c>
      <c r="V11" s="9"/>
      <c r="W11" s="8" t="s">
        <v>32</v>
      </c>
      <c r="X11" s="177">
        <v>91.6</v>
      </c>
      <c r="Y11" s="177">
        <v>91.6</v>
      </c>
      <c r="Z11" s="143">
        <v>91.8</v>
      </c>
      <c r="AA11" s="143">
        <v>91.9</v>
      </c>
      <c r="AB11" s="143">
        <v>92</v>
      </c>
      <c r="AC11" s="143">
        <v>92.2</v>
      </c>
      <c r="AD11" s="143">
        <v>92.4</v>
      </c>
      <c r="AE11" s="143">
        <v>92.8</v>
      </c>
      <c r="AF11" s="143">
        <v>93</v>
      </c>
      <c r="AG11" s="143">
        <v>93.5</v>
      </c>
      <c r="AH11" s="143">
        <v>93.8</v>
      </c>
      <c r="AI11" s="143">
        <v>94</v>
      </c>
    </row>
    <row r="12" spans="1:37">
      <c r="B12" s="126">
        <v>94.44</v>
      </c>
      <c r="C12" s="129">
        <v>88.23</v>
      </c>
      <c r="D12" s="128">
        <v>91.99</v>
      </c>
      <c r="F12" s="9"/>
      <c r="G12" s="8" t="s">
        <v>33</v>
      </c>
      <c r="H12" s="140">
        <v>4518.0529664360456</v>
      </c>
      <c r="I12" s="140">
        <v>4302.9075870819488</v>
      </c>
      <c r="J12" s="140">
        <v>4948.3437251442429</v>
      </c>
      <c r="K12" s="140">
        <v>4555.1319984692273</v>
      </c>
      <c r="L12" s="140">
        <v>4772.0430460153839</v>
      </c>
      <c r="M12" s="140">
        <v>4772.0430460153839</v>
      </c>
      <c r="N12" s="140">
        <v>4725.4169284655463</v>
      </c>
      <c r="O12" s="140">
        <v>5175.4566359384553</v>
      </c>
      <c r="P12" s="140">
        <v>4950.4367822019994</v>
      </c>
      <c r="Q12" s="140">
        <v>4813.3221181859935</v>
      </c>
      <c r="R12" s="140">
        <v>5042.5279333377075</v>
      </c>
      <c r="S12" s="140">
        <v>5042.5279333377075</v>
      </c>
      <c r="T12" s="39"/>
      <c r="U12" s="160"/>
      <c r="V12" s="9"/>
      <c r="W12" s="8" t="s">
        <v>33</v>
      </c>
      <c r="X12" s="177">
        <v>91.1</v>
      </c>
      <c r="Y12" s="177">
        <v>91.1</v>
      </c>
      <c r="Z12" s="143">
        <v>91.2</v>
      </c>
      <c r="AA12" s="143">
        <v>91.4</v>
      </c>
      <c r="AB12" s="143">
        <v>91.6</v>
      </c>
      <c r="AC12" s="143">
        <v>91.8</v>
      </c>
      <c r="AD12" s="143">
        <v>92</v>
      </c>
      <c r="AE12" s="143">
        <v>92.4</v>
      </c>
      <c r="AF12" s="143">
        <v>92.5</v>
      </c>
      <c r="AG12" s="143">
        <v>92.6</v>
      </c>
      <c r="AH12" s="143">
        <v>92.8</v>
      </c>
      <c r="AI12" s="143">
        <v>93</v>
      </c>
    </row>
    <row r="13" spans="1:37">
      <c r="B13" s="130">
        <v>94.73</v>
      </c>
      <c r="C13" s="129">
        <v>93.32</v>
      </c>
      <c r="D13" s="128">
        <v>93.47</v>
      </c>
      <c r="F13" s="9"/>
      <c r="G13" s="8" t="s">
        <v>35</v>
      </c>
      <c r="H13" s="140">
        <v>70.028043380639645</v>
      </c>
      <c r="I13" s="140">
        <v>66.693374648228229</v>
      </c>
      <c r="J13" s="140">
        <v>76.697380845462476</v>
      </c>
      <c r="K13" s="140">
        <v>69.110505625203388</v>
      </c>
      <c r="L13" s="140">
        <v>72.401482083546412</v>
      </c>
      <c r="M13" s="140">
        <v>72.401482083546412</v>
      </c>
      <c r="N13" s="140">
        <v>70.396971905045575</v>
      </c>
      <c r="O13" s="140">
        <v>77.101445419811824</v>
      </c>
      <c r="P13" s="140">
        <v>73.7492086624287</v>
      </c>
      <c r="Q13" s="140">
        <v>71.648143014531129</v>
      </c>
      <c r="R13" s="140">
        <v>75.059959348556418</v>
      </c>
      <c r="S13" s="140">
        <v>75.059959348556418</v>
      </c>
      <c r="T13" s="39"/>
      <c r="U13" s="160"/>
      <c r="V13" s="9"/>
      <c r="W13" s="8" t="s">
        <v>35</v>
      </c>
      <c r="X13" s="177">
        <v>93</v>
      </c>
      <c r="Y13" s="177">
        <v>93</v>
      </c>
      <c r="Z13" s="143">
        <v>93</v>
      </c>
      <c r="AA13" s="143">
        <v>93</v>
      </c>
      <c r="AB13" s="143">
        <v>93</v>
      </c>
      <c r="AC13" s="143">
        <v>93</v>
      </c>
      <c r="AD13" s="143">
        <v>93</v>
      </c>
      <c r="AE13" s="143">
        <v>93</v>
      </c>
      <c r="AF13" s="143">
        <v>93</v>
      </c>
      <c r="AG13" s="143">
        <v>93</v>
      </c>
      <c r="AH13" s="143">
        <v>93</v>
      </c>
      <c r="AI13" s="143">
        <v>93</v>
      </c>
    </row>
    <row r="14" spans="1:37">
      <c r="B14" s="126">
        <v>93.77</v>
      </c>
      <c r="C14" s="129">
        <v>94.74</v>
      </c>
      <c r="D14" s="146">
        <v>91.45</v>
      </c>
      <c r="F14" s="9"/>
      <c r="G14" s="8" t="s">
        <v>37</v>
      </c>
      <c r="H14" s="140">
        <v>21527.860549327172</v>
      </c>
      <c r="I14" s="140">
        <v>20502.724332692545</v>
      </c>
      <c r="J14" s="140">
        <v>23578.13298259642</v>
      </c>
      <c r="K14" s="140">
        <v>21583.656127973121</v>
      </c>
      <c r="L14" s="140">
        <v>22611.449276924221</v>
      </c>
      <c r="M14" s="140">
        <v>22611.449276924221</v>
      </c>
      <c r="N14" s="140">
        <v>22267.607344879136</v>
      </c>
      <c r="O14" s="140">
        <v>24388.331853915239</v>
      </c>
      <c r="P14" s="140">
        <v>23327.969599397184</v>
      </c>
      <c r="Q14" s="140">
        <v>22798.446452469907</v>
      </c>
      <c r="R14" s="140">
        <v>23884.08675973037</v>
      </c>
      <c r="S14" s="140">
        <v>23884.08675973037</v>
      </c>
      <c r="T14" s="41"/>
      <c r="U14" s="161"/>
      <c r="V14" s="9"/>
      <c r="W14" s="8" t="s">
        <v>37</v>
      </c>
      <c r="X14" s="178">
        <v>92.8</v>
      </c>
      <c r="Y14" s="178">
        <v>92.9</v>
      </c>
      <c r="Z14" s="143">
        <v>93</v>
      </c>
      <c r="AA14" s="143">
        <v>93.5</v>
      </c>
      <c r="AB14" s="143">
        <v>93.6</v>
      </c>
      <c r="AC14" s="143">
        <v>93.7</v>
      </c>
      <c r="AD14" s="143">
        <v>93.8</v>
      </c>
      <c r="AE14" s="143">
        <v>93.9</v>
      </c>
      <c r="AF14" s="143">
        <v>94</v>
      </c>
      <c r="AG14" s="143">
        <v>94.3</v>
      </c>
      <c r="AH14" s="143">
        <v>94.6</v>
      </c>
      <c r="AI14" s="143">
        <v>95</v>
      </c>
      <c r="AJ14" s="181">
        <v>94.5</v>
      </c>
      <c r="AK14" s="144" t="s">
        <v>54</v>
      </c>
    </row>
    <row r="15" spans="1:37">
      <c r="B15" s="131">
        <v>94.1</v>
      </c>
      <c r="C15" s="132">
        <v>92.85</v>
      </c>
      <c r="D15" s="133">
        <v>94.18</v>
      </c>
      <c r="F15" s="28"/>
      <c r="G15" s="5" t="s">
        <v>38</v>
      </c>
      <c r="H15" s="140">
        <v>24480.25439527418</v>
      </c>
      <c r="I15" s="140">
        <v>23314.527995499222</v>
      </c>
      <c r="J15" s="140">
        <v>26811.707194824106</v>
      </c>
      <c r="K15" s="140">
        <v>23407.446176256643</v>
      </c>
      <c r="L15" s="140">
        <v>24522.086470364102</v>
      </c>
      <c r="M15" s="140">
        <v>24522.086470364102</v>
      </c>
      <c r="N15" s="140">
        <v>24434.163644323395</v>
      </c>
      <c r="O15" s="140">
        <v>26761.226848544677</v>
      </c>
      <c r="P15" s="140">
        <v>25597.695246434039</v>
      </c>
      <c r="Q15" s="140">
        <v>25952.690649030192</v>
      </c>
      <c r="R15" s="140">
        <v>27188.533060888774</v>
      </c>
      <c r="S15" s="140">
        <v>27188.533060888774</v>
      </c>
      <c r="T15" s="41"/>
      <c r="U15" s="161"/>
      <c r="V15" s="6"/>
      <c r="W15" s="5" t="s">
        <v>38</v>
      </c>
      <c r="X15" s="178">
        <v>92.6</v>
      </c>
      <c r="Y15" s="178">
        <v>92.7</v>
      </c>
      <c r="Z15" s="138">
        <v>92.8</v>
      </c>
      <c r="AA15" s="138">
        <v>93</v>
      </c>
      <c r="AB15" s="138">
        <v>93.2</v>
      </c>
      <c r="AC15" s="138">
        <v>93.4</v>
      </c>
      <c r="AD15" s="138">
        <v>93.5</v>
      </c>
      <c r="AE15" s="138">
        <v>93.6</v>
      </c>
      <c r="AF15" s="138">
        <v>93.7</v>
      </c>
      <c r="AG15" s="138">
        <v>93.8</v>
      </c>
      <c r="AH15" s="138">
        <v>93.9</v>
      </c>
      <c r="AI15" s="138">
        <v>94</v>
      </c>
    </row>
    <row r="16" spans="1:37">
      <c r="B16" s="137">
        <v>92.454733649000445</v>
      </c>
      <c r="C16" s="135">
        <v>91.34</v>
      </c>
      <c r="D16" s="136">
        <v>92.09</v>
      </c>
      <c r="F16" s="30" t="s">
        <v>25</v>
      </c>
      <c r="G16" s="3" t="s">
        <v>39</v>
      </c>
      <c r="H16" s="141">
        <f>SUM(H5:H15)</f>
        <v>81111.908932548817</v>
      </c>
      <c r="I16" s="141">
        <f t="shared" ref="I16:S16" si="0">SUM(I5:I15)</f>
        <v>77249.437078617921</v>
      </c>
      <c r="J16" s="141">
        <f t="shared" si="0"/>
        <v>88836.852640410594</v>
      </c>
      <c r="K16" s="141">
        <f t="shared" si="0"/>
        <v>80057.675534396403</v>
      </c>
      <c r="L16" s="141">
        <f t="shared" si="0"/>
        <v>83869.945797939072</v>
      </c>
      <c r="M16" s="141">
        <f t="shared" si="0"/>
        <v>83869.945797939072</v>
      </c>
      <c r="N16" s="141">
        <f t="shared" si="0"/>
        <v>83638.224129073147</v>
      </c>
      <c r="O16" s="141">
        <f t="shared" si="0"/>
        <v>91603.769284222974</v>
      </c>
      <c r="P16" s="141">
        <f t="shared" si="0"/>
        <v>87620.99670664806</v>
      </c>
      <c r="Q16" s="141">
        <f t="shared" si="0"/>
        <v>87105.724316695734</v>
      </c>
      <c r="R16" s="141">
        <f t="shared" si="0"/>
        <v>91253.615950824096</v>
      </c>
      <c r="S16" s="141">
        <f t="shared" si="0"/>
        <v>91253.615950824096</v>
      </c>
      <c r="V16" s="3" t="s">
        <v>25</v>
      </c>
      <c r="W16" s="3" t="s">
        <v>39</v>
      </c>
      <c r="X16" s="42">
        <f>(X5*(H5/H16))+(X6*(H6/H16))+(X7*(H7/H16))+(X8*(H8/H16))+(X9*(H9/H16))+(X10*(H10/H16))+(X11*(H11/H16))+(X12*(H12/H16))+(X13*(H13/H16))+(X14*(H14/H16))+(X15*(H15/H16))</f>
        <v>91.802658085679838</v>
      </c>
      <c r="Y16" s="42">
        <f t="shared" ref="Y16:AI16" si="1">(Y5*(I5/I16))+(Y6*(I6/I16))+(Y7*(I7/I16))+(Y8*(I8/I16))+(Y9*(I9/I16))+(Y10*(I10/I16))+(Y11*(I11/I16))+(Y12*(I12/I16))+(Y13*(I13/I16))+(Y14*(I14/I16))+(Y15*(I15/I16))</f>
        <v>91.895937547490504</v>
      </c>
      <c r="Z16" s="42">
        <f t="shared" si="1"/>
        <v>92.031406103393067</v>
      </c>
      <c r="AA16" s="42">
        <f t="shared" si="1"/>
        <v>92.299450025662125</v>
      </c>
      <c r="AB16" s="42">
        <f t="shared" si="1"/>
        <v>92.471554226421873</v>
      </c>
      <c r="AC16" s="42">
        <f t="shared" si="1"/>
        <v>92.654270907314128</v>
      </c>
      <c r="AD16" s="42">
        <f t="shared" si="1"/>
        <v>92.784709308001766</v>
      </c>
      <c r="AE16" s="42">
        <f t="shared" si="1"/>
        <v>92.963455664326617</v>
      </c>
      <c r="AF16" s="42">
        <f t="shared" si="1"/>
        <v>93.09198188458231</v>
      </c>
      <c r="AG16" s="42">
        <f t="shared" si="1"/>
        <v>93.323494112156354</v>
      </c>
      <c r="AH16" s="42">
        <f t="shared" si="1"/>
        <v>93.511719316046197</v>
      </c>
      <c r="AI16" s="42">
        <f t="shared" si="1"/>
        <v>93.715465230116948</v>
      </c>
    </row>
    <row r="17" spans="2:36">
      <c r="H17" s="43"/>
      <c r="I17" s="1"/>
      <c r="J17" s="20"/>
      <c r="L17" s="1"/>
      <c r="M17" s="20"/>
      <c r="O17" s="1"/>
      <c r="P17" s="20"/>
      <c r="R17" s="1"/>
      <c r="S17" s="44"/>
      <c r="W17" s="38" t="s">
        <v>55</v>
      </c>
      <c r="X17" s="162">
        <v>91.8</v>
      </c>
      <c r="Y17" s="1"/>
      <c r="Z17" s="20"/>
      <c r="AB17" s="1"/>
      <c r="AC17" s="20"/>
      <c r="AE17" s="1"/>
      <c r="AF17" s="20"/>
      <c r="AH17" s="1"/>
      <c r="AI17" s="44"/>
      <c r="AJ17" s="183"/>
    </row>
    <row r="18" spans="2:36">
      <c r="I18" s="1"/>
      <c r="J18" s="20"/>
      <c r="L18" s="1"/>
      <c r="M18" s="20"/>
      <c r="O18" s="1"/>
      <c r="P18" s="20"/>
      <c r="R18" s="1"/>
      <c r="S18" s="20"/>
      <c r="Y18" s="1"/>
      <c r="Z18" s="20"/>
      <c r="AB18" s="1"/>
      <c r="AC18" s="20"/>
      <c r="AE18" s="1"/>
      <c r="AF18" s="20"/>
      <c r="AH18" s="1"/>
      <c r="AI18" s="20"/>
    </row>
    <row r="19" spans="2:36" ht="15" thickBot="1">
      <c r="B19" s="147"/>
      <c r="C19" s="147"/>
      <c r="D19" s="147"/>
      <c r="E19" s="147"/>
      <c r="F19" s="147"/>
      <c r="G19" s="147"/>
      <c r="H19" s="147"/>
      <c r="I19" s="147"/>
      <c r="J19" s="149"/>
      <c r="K19" s="147"/>
      <c r="L19" s="147"/>
      <c r="M19" s="149"/>
      <c r="N19" s="147"/>
      <c r="O19" s="147"/>
      <c r="P19" s="149"/>
      <c r="Q19" s="147"/>
      <c r="R19" s="147"/>
      <c r="S19" s="149"/>
      <c r="V19" s="13" t="s">
        <v>41</v>
      </c>
      <c r="W19" s="13" t="s">
        <v>13</v>
      </c>
      <c r="X19" s="13" t="s">
        <v>14</v>
      </c>
      <c r="Y19" s="13" t="s">
        <v>15</v>
      </c>
      <c r="Z19" s="21" t="s">
        <v>16</v>
      </c>
      <c r="AA19" s="13" t="s">
        <v>17</v>
      </c>
      <c r="AB19" s="13" t="s">
        <v>18</v>
      </c>
      <c r="AC19" s="21" t="s">
        <v>19</v>
      </c>
      <c r="AD19" s="13" t="s">
        <v>20</v>
      </c>
      <c r="AE19" s="13" t="s">
        <v>21</v>
      </c>
      <c r="AF19" s="21" t="s">
        <v>22</v>
      </c>
      <c r="AG19" s="13" t="s">
        <v>23</v>
      </c>
      <c r="AH19" s="13" t="s">
        <v>24</v>
      </c>
      <c r="AI19" s="21" t="s">
        <v>10</v>
      </c>
    </row>
    <row r="20" spans="2:36" ht="15" thickTop="1">
      <c r="B20" s="148"/>
      <c r="C20" s="158" t="s">
        <v>56</v>
      </c>
      <c r="D20" s="148"/>
      <c r="E20" s="148"/>
      <c r="F20" s="147"/>
      <c r="G20" s="147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V20" s="9"/>
      <c r="W20" s="29" t="s">
        <v>26</v>
      </c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</row>
    <row r="21" spans="2:36">
      <c r="B21" s="157"/>
      <c r="C21" s="158" t="s">
        <v>57</v>
      </c>
      <c r="D21" s="148"/>
      <c r="E21" s="148"/>
      <c r="F21" s="147"/>
      <c r="G21" s="147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V21" s="9"/>
      <c r="W21" s="8" t="s">
        <v>27</v>
      </c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</row>
    <row r="22" spans="2:36">
      <c r="C22" s="158" t="s">
        <v>58</v>
      </c>
      <c r="D22" s="148"/>
      <c r="E22" s="148"/>
      <c r="F22" s="147"/>
      <c r="G22" s="147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V22" s="9"/>
      <c r="W22" s="8" t="s">
        <v>28</v>
      </c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</row>
    <row r="23" spans="2:36">
      <c r="C23" s="158" t="s">
        <v>59</v>
      </c>
      <c r="D23" s="148"/>
      <c r="E23" s="148"/>
      <c r="F23" s="147"/>
      <c r="G23" s="147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V23" s="9"/>
      <c r="W23" s="8" t="s">
        <v>29</v>
      </c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</row>
    <row r="24" spans="2:36">
      <c r="D24" s="148"/>
      <c r="E24" s="148"/>
      <c r="F24" s="147"/>
      <c r="G24" s="147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V24" s="9"/>
      <c r="W24" s="8" t="s">
        <v>30</v>
      </c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</row>
    <row r="25" spans="2:36">
      <c r="B25" s="148"/>
      <c r="C25" s="148"/>
      <c r="D25" s="148"/>
      <c r="E25" s="148"/>
      <c r="F25" s="147"/>
      <c r="G25" s="147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V25" s="9"/>
      <c r="W25" s="8" t="s">
        <v>31</v>
      </c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</row>
    <row r="26" spans="2:36">
      <c r="B26" s="148"/>
      <c r="C26" s="148"/>
      <c r="D26" s="148"/>
      <c r="E26" s="148"/>
      <c r="F26" s="147"/>
      <c r="G26" s="147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V26" s="9"/>
      <c r="W26" s="8" t="s">
        <v>32</v>
      </c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</row>
    <row r="27" spans="2:36">
      <c r="B27" s="148"/>
      <c r="C27" s="148"/>
      <c r="D27" s="148"/>
      <c r="E27" s="148"/>
      <c r="F27" s="147"/>
      <c r="G27" s="147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V27" s="9"/>
      <c r="W27" s="8" t="s">
        <v>33</v>
      </c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</row>
    <row r="28" spans="2:36">
      <c r="B28" s="148"/>
      <c r="C28" s="148"/>
      <c r="D28" s="148"/>
      <c r="E28" s="148"/>
      <c r="F28" s="147"/>
      <c r="G28" s="147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V28" s="9"/>
      <c r="W28" s="8" t="s">
        <v>35</v>
      </c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</row>
    <row r="29" spans="2:36">
      <c r="B29" s="148"/>
      <c r="C29" s="148"/>
      <c r="D29" s="148"/>
      <c r="E29" s="148"/>
      <c r="F29" s="147"/>
      <c r="G29" s="147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V29" s="9"/>
      <c r="W29" s="8" t="s">
        <v>37</v>
      </c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</row>
    <row r="30" spans="2:36">
      <c r="B30" s="148"/>
      <c r="C30" s="148"/>
      <c r="D30" s="148"/>
      <c r="E30" s="148"/>
      <c r="F30" s="151"/>
      <c r="G30" s="147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V30" s="28"/>
      <c r="W30" s="5" t="s">
        <v>38</v>
      </c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</row>
    <row r="31" spans="2:36">
      <c r="B31" s="148"/>
      <c r="C31" s="148"/>
      <c r="D31" s="148"/>
      <c r="E31" s="148"/>
      <c r="F31" s="151"/>
      <c r="G31" s="147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V31" s="30" t="s">
        <v>42</v>
      </c>
      <c r="W31" s="3" t="s">
        <v>39</v>
      </c>
      <c r="X31" s="37">
        <v>91.051743111379409</v>
      </c>
      <c r="Y31" s="37">
        <v>91.49330039925303</v>
      </c>
      <c r="Z31" s="37">
        <v>91.912999435212114</v>
      </c>
      <c r="AA31" s="37">
        <v>92.146675394599754</v>
      </c>
      <c r="AB31" s="37">
        <v>92.414111144698296</v>
      </c>
      <c r="AC31" s="37">
        <v>92.681188398629999</v>
      </c>
      <c r="AD31" s="37">
        <v>92.973491734782371</v>
      </c>
      <c r="AE31" s="37">
        <v>93.194564873196114</v>
      </c>
      <c r="AF31" s="37">
        <v>93.409831911053843</v>
      </c>
      <c r="AG31" s="37">
        <v>93.577959412935172</v>
      </c>
      <c r="AH31" s="37">
        <v>93.728315294514587</v>
      </c>
      <c r="AI31" s="37">
        <v>93.861885035021274</v>
      </c>
    </row>
    <row r="34" spans="22:35">
      <c r="V34" s="27"/>
      <c r="W34" s="27"/>
      <c r="X34" s="27"/>
      <c r="Y34" s="27"/>
      <c r="Z34" s="153"/>
      <c r="AA34" s="27"/>
      <c r="AB34" s="27"/>
      <c r="AC34" s="153"/>
      <c r="AD34" s="27"/>
      <c r="AE34" s="27"/>
      <c r="AF34" s="153"/>
      <c r="AG34" s="27"/>
      <c r="AH34" s="27"/>
      <c r="AI34" s="153"/>
    </row>
    <row r="35" spans="22:35">
      <c r="V35" s="38"/>
      <c r="W35" s="38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</row>
    <row r="36" spans="22:35">
      <c r="V36" s="38"/>
      <c r="W36" s="38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</row>
    <row r="37" spans="22:35">
      <c r="V37" s="38"/>
      <c r="W37" s="38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</row>
    <row r="38" spans="22:35">
      <c r="V38" s="38"/>
      <c r="W38" s="38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</row>
    <row r="39" spans="22:35">
      <c r="V39" s="38"/>
      <c r="W39" s="38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</row>
    <row r="40" spans="22:35">
      <c r="V40" s="38"/>
      <c r="W40" s="38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</row>
    <row r="41" spans="22:35">
      <c r="V41" s="38"/>
      <c r="W41" s="38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</row>
    <row r="42" spans="22:35">
      <c r="V42" s="38"/>
      <c r="W42" s="38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</row>
    <row r="43" spans="22:35">
      <c r="V43" s="38"/>
      <c r="W43" s="38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</row>
    <row r="44" spans="22:35">
      <c r="V44" s="38"/>
      <c r="W44" s="38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</row>
    <row r="45" spans="22:35">
      <c r="W45" s="38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</row>
    <row r="46" spans="22:35">
      <c r="V46" s="155"/>
      <c r="W46" s="27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</row>
  </sheetData>
  <mergeCells count="1">
    <mergeCell ref="P3:S3"/>
  </mergeCells>
  <pageMargins left="0.7" right="0.7" top="0.75" bottom="0.75" header="0.3" footer="0.3"/>
  <pageSetup paperSize="9" scale="96" orientation="landscape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0F31-C7F8-4C9B-BA0C-66B918E72C0D}">
  <sheetPr>
    <tabColor theme="1"/>
  </sheetPr>
  <dimension ref="A1:AJ262"/>
  <sheetViews>
    <sheetView topLeftCell="R1" workbookViewId="0">
      <selection activeCell="H244" sqref="H244"/>
    </sheetView>
  </sheetViews>
  <sheetFormatPr defaultRowHeight="14.5"/>
  <cols>
    <col min="3" max="3" width="24.54296875" bestFit="1" customWidth="1"/>
  </cols>
  <sheetData>
    <row r="1" spans="1:36" ht="15" thickBot="1">
      <c r="A1" s="17"/>
      <c r="B1" s="17"/>
      <c r="C1" s="17"/>
      <c r="D1" s="17"/>
      <c r="E1" s="4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 t="s">
        <v>64</v>
      </c>
    </row>
    <row r="2" spans="1:36">
      <c r="A2" s="47"/>
      <c r="B2" s="48"/>
      <c r="C2" s="49"/>
      <c r="D2" s="49"/>
      <c r="E2" s="50"/>
      <c r="F2" s="51"/>
      <c r="G2" s="52"/>
      <c r="H2" s="52"/>
      <c r="I2" s="52"/>
      <c r="J2" s="52"/>
      <c r="K2" s="52"/>
      <c r="L2" s="53"/>
      <c r="M2" s="51"/>
      <c r="N2" s="52"/>
      <c r="O2" s="52"/>
      <c r="P2" s="52"/>
      <c r="Q2" s="52"/>
      <c r="R2" s="52"/>
      <c r="S2" s="54"/>
    </row>
    <row r="3" spans="1:36">
      <c r="A3" s="55" t="s">
        <v>65</v>
      </c>
      <c r="B3" s="56" t="s">
        <v>13</v>
      </c>
      <c r="C3" s="57" t="s">
        <v>66</v>
      </c>
      <c r="D3" s="57" t="s">
        <v>66</v>
      </c>
      <c r="E3" s="58"/>
      <c r="F3" s="59" t="s">
        <v>67</v>
      </c>
      <c r="G3" s="60" t="s">
        <v>68</v>
      </c>
      <c r="H3" s="60" t="s">
        <v>69</v>
      </c>
      <c r="I3" s="60" t="s">
        <v>70</v>
      </c>
      <c r="J3" s="60" t="s">
        <v>71</v>
      </c>
      <c r="K3" s="60" t="s">
        <v>72</v>
      </c>
      <c r="L3" s="61" t="s">
        <v>73</v>
      </c>
      <c r="M3" s="59" t="s">
        <v>74</v>
      </c>
      <c r="N3" s="60" t="s">
        <v>75</v>
      </c>
      <c r="O3" s="60" t="s">
        <v>76</v>
      </c>
      <c r="P3" s="60" t="s">
        <v>77</v>
      </c>
      <c r="Q3" s="60" t="s">
        <v>78</v>
      </c>
      <c r="R3" s="60" t="s">
        <v>79</v>
      </c>
      <c r="S3" s="62" t="s">
        <v>80</v>
      </c>
      <c r="U3" t="s">
        <v>65</v>
      </c>
      <c r="V3" t="s">
        <v>13</v>
      </c>
      <c r="W3" t="s">
        <v>14</v>
      </c>
      <c r="X3" t="s">
        <v>15</v>
      </c>
      <c r="Y3" t="s">
        <v>16</v>
      </c>
      <c r="Z3" t="s">
        <v>17</v>
      </c>
      <c r="AA3" t="s">
        <v>18</v>
      </c>
      <c r="AB3" t="s">
        <v>19</v>
      </c>
      <c r="AC3" t="s">
        <v>81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10</v>
      </c>
      <c r="AJ3" t="s">
        <v>82</v>
      </c>
    </row>
    <row r="4" spans="1:36" hidden="1">
      <c r="A4" s="63" t="s">
        <v>83</v>
      </c>
      <c r="B4" s="64" t="s">
        <v>84</v>
      </c>
      <c r="C4" s="65" t="s">
        <v>85</v>
      </c>
      <c r="D4" s="65" t="s">
        <v>85</v>
      </c>
      <c r="E4" s="66" t="e">
        <f>VLOOKUP(D4,'[46]Yield Cal Oracle (base) '!$D:$E,2,0)</f>
        <v>#N/A</v>
      </c>
      <c r="F4" s="67">
        <v>1.0288812328902475</v>
      </c>
      <c r="G4" s="68">
        <v>0.97988688846690242</v>
      </c>
      <c r="H4" s="68">
        <v>1.1268699217369378</v>
      </c>
      <c r="I4" s="68">
        <v>1.197810953503103</v>
      </c>
      <c r="J4" s="68">
        <v>1.2548495703365845</v>
      </c>
      <c r="K4" s="68">
        <v>1.2548495703365845</v>
      </c>
      <c r="L4" s="69">
        <f>SUM(F4:K4)/6</f>
        <v>1.1405246895450598</v>
      </c>
      <c r="M4" s="67">
        <v>1.3272982708791956</v>
      </c>
      <c r="N4" s="68">
        <v>1.4537076300105478</v>
      </c>
      <c r="O4" s="68">
        <v>1.3905029504448716</v>
      </c>
      <c r="P4" s="68">
        <v>1.3500286623441997</v>
      </c>
      <c r="Q4" s="68">
        <v>1.4143157415034475</v>
      </c>
      <c r="R4" s="68">
        <v>1.4143157415034475</v>
      </c>
      <c r="S4" s="70">
        <f>SUM(M4:R4)/6</f>
        <v>1.3916948327809517</v>
      </c>
      <c r="U4" t="s">
        <v>83</v>
      </c>
      <c r="V4" t="s">
        <v>86</v>
      </c>
      <c r="W4">
        <v>1.0288812328902475</v>
      </c>
      <c r="X4">
        <v>0.97988688846690242</v>
      </c>
      <c r="Y4">
        <v>1.1268699217369378</v>
      </c>
      <c r="Z4">
        <v>1.197810953503103</v>
      </c>
      <c r="AA4">
        <v>1.2548495703365845</v>
      </c>
      <c r="AB4">
        <v>1.2548495703365845</v>
      </c>
      <c r="AC4">
        <v>1.1405246895450598</v>
      </c>
      <c r="AD4">
        <v>1.3272982708791956</v>
      </c>
      <c r="AE4">
        <v>1.4537076300105478</v>
      </c>
      <c r="AF4">
        <v>1.3905029504448716</v>
      </c>
      <c r="AG4">
        <v>1.3500286623441997</v>
      </c>
      <c r="AH4">
        <v>1.4143157415034475</v>
      </c>
      <c r="AI4">
        <v>1.4143157415034475</v>
      </c>
      <c r="AJ4">
        <v>1.3916948327809517</v>
      </c>
    </row>
    <row r="5" spans="1:36" hidden="1">
      <c r="A5" s="71" t="s">
        <v>83</v>
      </c>
      <c r="B5" s="17" t="s">
        <v>86</v>
      </c>
      <c r="C5" s="72" t="s">
        <v>87</v>
      </c>
      <c r="D5" s="72" t="s">
        <v>87</v>
      </c>
      <c r="E5" s="66" t="e">
        <f>VLOOKUP(D5,'[46]Yield Cal Oracle (base) '!$D:$E,2,0)</f>
        <v>#N/A</v>
      </c>
      <c r="F5" s="73">
        <v>1365.5810869162292</v>
      </c>
      <c r="G5" s="74">
        <v>1300.5534161106909</v>
      </c>
      <c r="H5" s="74">
        <v>1495.6364285272946</v>
      </c>
      <c r="I5" s="74">
        <v>1287.5985072617968</v>
      </c>
      <c r="J5" s="74">
        <v>1348.9127218933108</v>
      </c>
      <c r="K5" s="74">
        <v>1348.9127218933108</v>
      </c>
      <c r="L5" s="75">
        <f>SUM(F5:K5)/6</f>
        <v>1357.8658137671057</v>
      </c>
      <c r="M5" s="73">
        <v>1345.2490684933432</v>
      </c>
      <c r="N5" s="74">
        <v>1473.368027397471</v>
      </c>
      <c r="O5" s="74">
        <v>1409.3085479454071</v>
      </c>
      <c r="P5" s="74">
        <v>1444.4900168096892</v>
      </c>
      <c r="Q5" s="74">
        <v>1513.2752557053891</v>
      </c>
      <c r="R5" s="74">
        <v>1513.2752557053891</v>
      </c>
      <c r="S5" s="76">
        <f>SUM(M5:R5)/6</f>
        <v>1449.8276953427812</v>
      </c>
      <c r="U5" t="s">
        <v>83</v>
      </c>
      <c r="V5" t="s">
        <v>86</v>
      </c>
      <c r="W5">
        <v>1365.5810869162292</v>
      </c>
      <c r="X5">
        <v>1300.5534161106909</v>
      </c>
      <c r="Y5">
        <v>1495.6364285272946</v>
      </c>
      <c r="Z5">
        <v>1287.5985072617968</v>
      </c>
      <c r="AA5">
        <v>1348.9127218933108</v>
      </c>
      <c r="AB5">
        <v>1348.9127218933108</v>
      </c>
      <c r="AC5">
        <v>1357.8658137671057</v>
      </c>
      <c r="AD5">
        <v>1345.2490684933432</v>
      </c>
      <c r="AE5">
        <v>1473.368027397471</v>
      </c>
      <c r="AF5">
        <v>1409.3085479454071</v>
      </c>
      <c r="AG5">
        <v>1444.4900168096892</v>
      </c>
      <c r="AH5">
        <v>1513.2752557053891</v>
      </c>
      <c r="AI5">
        <v>1513.2752557053891</v>
      </c>
      <c r="AJ5">
        <v>1449.8276953427812</v>
      </c>
    </row>
    <row r="6" spans="1:36" hidden="1">
      <c r="A6" s="55"/>
      <c r="B6" s="56"/>
      <c r="C6" s="57"/>
      <c r="D6" s="57"/>
      <c r="E6" s="58"/>
      <c r="F6" s="77"/>
      <c r="G6" s="78"/>
      <c r="H6" s="78"/>
      <c r="I6" s="78"/>
      <c r="J6" s="78"/>
      <c r="K6" s="78"/>
      <c r="L6" s="79">
        <f>SUM(F6:K6)/6</f>
        <v>0</v>
      </c>
      <c r="M6" s="77"/>
      <c r="N6" s="78"/>
      <c r="O6" s="78"/>
      <c r="P6" s="78"/>
      <c r="Q6" s="78"/>
      <c r="R6" s="78"/>
      <c r="S6" s="80">
        <f>SUM(M6:R6)/6</f>
        <v>0</v>
      </c>
      <c r="AC6">
        <v>0</v>
      </c>
      <c r="AJ6">
        <v>0</v>
      </c>
    </row>
    <row r="7" spans="1:36">
      <c r="A7" s="81"/>
      <c r="B7" s="82" t="s">
        <v>86</v>
      </c>
      <c r="C7" s="83" t="s">
        <v>88</v>
      </c>
      <c r="D7" s="83" t="s">
        <v>88</v>
      </c>
      <c r="E7" s="84"/>
      <c r="F7" s="85">
        <f t="shared" ref="F7:S7" si="0">SUM(F4:F6)</f>
        <v>1366.6099681491194</v>
      </c>
      <c r="G7" s="86">
        <f t="shared" si="0"/>
        <v>1301.5333029991577</v>
      </c>
      <c r="H7" s="86">
        <f t="shared" si="0"/>
        <v>1496.7632984490315</v>
      </c>
      <c r="I7" s="86">
        <f t="shared" si="0"/>
        <v>1288.7963182152998</v>
      </c>
      <c r="J7" s="86">
        <f t="shared" si="0"/>
        <v>1350.1675714636474</v>
      </c>
      <c r="K7" s="86">
        <f t="shared" si="0"/>
        <v>1350.1675714636474</v>
      </c>
      <c r="L7" s="87">
        <f t="shared" si="0"/>
        <v>1359.0063384566508</v>
      </c>
      <c r="M7" s="85">
        <f t="shared" si="0"/>
        <v>1346.5763667642225</v>
      </c>
      <c r="N7" s="86">
        <f t="shared" si="0"/>
        <v>1474.8217350274815</v>
      </c>
      <c r="O7" s="86">
        <f t="shared" si="0"/>
        <v>1410.699050895852</v>
      </c>
      <c r="P7" s="86">
        <f t="shared" si="0"/>
        <v>1445.8400454720334</v>
      </c>
      <c r="Q7" s="86">
        <f t="shared" si="0"/>
        <v>1514.6895714468926</v>
      </c>
      <c r="R7" s="86">
        <f t="shared" si="0"/>
        <v>1514.6895714468926</v>
      </c>
      <c r="S7" s="88">
        <f t="shared" si="0"/>
        <v>1451.2193901755622</v>
      </c>
      <c r="U7" t="s">
        <v>83</v>
      </c>
      <c r="V7" t="s">
        <v>86</v>
      </c>
      <c r="W7">
        <v>1366.6099681491194</v>
      </c>
      <c r="X7">
        <v>1301.5333029991577</v>
      </c>
      <c r="Y7">
        <v>1496.7632984490315</v>
      </c>
      <c r="Z7">
        <v>1288.7963182152998</v>
      </c>
      <c r="AA7">
        <v>1350.1675714636474</v>
      </c>
      <c r="AB7">
        <v>1350.1675714636474</v>
      </c>
      <c r="AC7">
        <v>1359.0063384566508</v>
      </c>
      <c r="AD7">
        <v>1346.5763667642225</v>
      </c>
      <c r="AE7">
        <v>1474.8217350274815</v>
      </c>
      <c r="AF7">
        <v>1410.699050895852</v>
      </c>
      <c r="AG7">
        <v>1445.8400454720334</v>
      </c>
      <c r="AH7">
        <v>1514.6895714468926</v>
      </c>
      <c r="AI7">
        <v>1514.6895714468926</v>
      </c>
      <c r="AJ7">
        <v>1451.2193901755622</v>
      </c>
    </row>
    <row r="8" spans="1:36" hidden="1">
      <c r="A8" s="71" t="s">
        <v>83</v>
      </c>
      <c r="B8" s="17" t="s">
        <v>89</v>
      </c>
      <c r="C8" s="89" t="s">
        <v>90</v>
      </c>
      <c r="D8" s="89" t="s">
        <v>90</v>
      </c>
      <c r="E8" s="90" t="str">
        <f>VLOOKUP(D8,'[46]Yield Cal Oracle (base) '!$D:$E,2,0)</f>
        <v>TEFPSA21C336M8RKT</v>
      </c>
      <c r="F8" s="91">
        <v>0.57252656644459399</v>
      </c>
      <c r="G8" s="92">
        <v>0.54526339661389911</v>
      </c>
      <c r="H8" s="92">
        <v>0.62705290610598396</v>
      </c>
      <c r="I8" s="92">
        <v>0.68196763235102487</v>
      </c>
      <c r="J8" s="92">
        <v>0.71444228151059752</v>
      </c>
      <c r="K8" s="92">
        <v>0.71444228151059752</v>
      </c>
      <c r="L8" s="93">
        <f>SUM(F8:K8)/6</f>
        <v>0.64261584408944949</v>
      </c>
      <c r="M8" s="91">
        <v>0.77159461422387998</v>
      </c>
      <c r="N8" s="92">
        <v>0.84507981557853518</v>
      </c>
      <c r="O8" s="92">
        <v>0.80833721490120758</v>
      </c>
      <c r="P8" s="92">
        <v>0.78504809223236449</v>
      </c>
      <c r="Q8" s="92">
        <v>0.82243133471961993</v>
      </c>
      <c r="R8" s="92">
        <v>0.82243133471961993</v>
      </c>
      <c r="S8" s="94">
        <f>SUM(M8:R8)/6</f>
        <v>0.80915373439587113</v>
      </c>
      <c r="U8" t="s">
        <v>83</v>
      </c>
      <c r="V8" t="s">
        <v>89</v>
      </c>
      <c r="W8">
        <v>0.57252656644459399</v>
      </c>
      <c r="X8">
        <v>0.54526339661389911</v>
      </c>
      <c r="Y8">
        <v>0.62705290610598396</v>
      </c>
      <c r="Z8">
        <v>0.68196763235102487</v>
      </c>
      <c r="AA8">
        <v>0.71444228151059752</v>
      </c>
      <c r="AB8">
        <v>0.71444228151059752</v>
      </c>
      <c r="AC8">
        <v>0.64261584408944949</v>
      </c>
      <c r="AD8">
        <v>0.77159461422387998</v>
      </c>
      <c r="AE8">
        <v>0.84507981557853518</v>
      </c>
      <c r="AF8">
        <v>0.80833721490120758</v>
      </c>
      <c r="AG8">
        <v>0.78504809223236449</v>
      </c>
      <c r="AH8">
        <v>0.82243133471961993</v>
      </c>
      <c r="AI8">
        <v>0.82243133471961993</v>
      </c>
      <c r="AJ8">
        <v>0.80915373439587113</v>
      </c>
    </row>
    <row r="9" spans="1:36" hidden="1">
      <c r="A9" s="71" t="s">
        <v>83</v>
      </c>
      <c r="B9" s="17" t="s">
        <v>89</v>
      </c>
      <c r="C9" s="89" t="s">
        <v>91</v>
      </c>
      <c r="D9" s="89" t="s">
        <v>91</v>
      </c>
      <c r="E9" s="90" t="str">
        <f>VLOOKUP(D9,'[46]Yield Cal Oracle (base) '!$D:$E,2,0)</f>
        <v>TEFPSA21E106M1508RKT</v>
      </c>
      <c r="F9" s="91">
        <v>5.5423918816111337</v>
      </c>
      <c r="G9" s="92">
        <v>5.2784684586772688</v>
      </c>
      <c r="H9" s="92">
        <v>6.0702387274788601</v>
      </c>
      <c r="I9" s="92">
        <v>5.887411346061513</v>
      </c>
      <c r="J9" s="92">
        <v>6.1677642673025366</v>
      </c>
      <c r="K9" s="92">
        <v>6.1677642673025366</v>
      </c>
      <c r="L9" s="93">
        <f>SUM(F9:K9)/6</f>
        <v>5.8523398247389737</v>
      </c>
      <c r="M9" s="91">
        <v>6.4956630862271583</v>
      </c>
      <c r="N9" s="92">
        <v>7.1142976658678396</v>
      </c>
      <c r="O9" s="92">
        <v>6.8049803760475003</v>
      </c>
      <c r="P9" s="92">
        <v>6.6540321802454399</v>
      </c>
      <c r="Q9" s="92">
        <v>6.9708908554952238</v>
      </c>
      <c r="R9" s="92">
        <v>6.9708908554952238</v>
      </c>
      <c r="S9" s="94">
        <f>SUM(M9:R9)/6</f>
        <v>6.8351258365630656</v>
      </c>
      <c r="U9" t="s">
        <v>83</v>
      </c>
      <c r="V9" t="s">
        <v>89</v>
      </c>
      <c r="W9">
        <v>5.5423918816111337</v>
      </c>
      <c r="X9">
        <v>5.2784684586772688</v>
      </c>
      <c r="Y9">
        <v>6.0702387274788601</v>
      </c>
      <c r="Z9">
        <v>5.887411346061513</v>
      </c>
      <c r="AA9">
        <v>6.1677642673025366</v>
      </c>
      <c r="AB9">
        <v>6.1677642673025366</v>
      </c>
      <c r="AC9">
        <v>5.8523398247389737</v>
      </c>
      <c r="AD9">
        <v>6.4956630862271583</v>
      </c>
      <c r="AE9">
        <v>7.1142976658678396</v>
      </c>
      <c r="AF9">
        <v>6.8049803760475003</v>
      </c>
      <c r="AG9">
        <v>6.6540321802454399</v>
      </c>
      <c r="AH9">
        <v>6.9708908554952238</v>
      </c>
      <c r="AI9">
        <v>6.9708908554952238</v>
      </c>
      <c r="AJ9">
        <v>6.8351258365630656</v>
      </c>
    </row>
    <row r="10" spans="1:36" hidden="1">
      <c r="A10" s="71" t="s">
        <v>83</v>
      </c>
      <c r="B10" s="17" t="s">
        <v>89</v>
      </c>
      <c r="C10" s="89" t="s">
        <v>92</v>
      </c>
      <c r="D10" s="89" t="s">
        <v>92</v>
      </c>
      <c r="E10" s="90" t="str">
        <f>VLOOKUP(D10,'[46]Yield Cal Oracle (base) '!$D:$E,2,0)</f>
        <v>TEFPSA21L566MHF8R</v>
      </c>
      <c r="F10" s="91">
        <v>1.1300926991095834</v>
      </c>
      <c r="G10" s="92">
        <v>1.0762787610567464</v>
      </c>
      <c r="H10" s="92">
        <v>1.237720575215258</v>
      </c>
      <c r="I10" s="92">
        <v>1.0668218469627664</v>
      </c>
      <c r="J10" s="92">
        <v>1.1176228872943268</v>
      </c>
      <c r="K10" s="92">
        <v>1.1176228872943268</v>
      </c>
      <c r="L10" s="93">
        <f>SUM(F10:K10)/6</f>
        <v>1.124359942822168</v>
      </c>
      <c r="M10" s="91">
        <v>1.1136973523596152</v>
      </c>
      <c r="N10" s="92">
        <v>1.2197637668700547</v>
      </c>
      <c r="O10" s="92">
        <v>1.166730559614835</v>
      </c>
      <c r="P10" s="92">
        <v>1.1940887219156182</v>
      </c>
      <c r="Q10" s="92">
        <v>1.2509500896258858</v>
      </c>
      <c r="R10" s="92">
        <v>1.2509500896258858</v>
      </c>
      <c r="S10" s="94">
        <f>SUM(M10:R10)/6</f>
        <v>1.1993634300019824</v>
      </c>
      <c r="U10" t="s">
        <v>83</v>
      </c>
      <c r="V10" t="s">
        <v>89</v>
      </c>
      <c r="W10">
        <v>1.1300926991095834</v>
      </c>
      <c r="X10">
        <v>1.0762787610567464</v>
      </c>
      <c r="Y10">
        <v>1.237720575215258</v>
      </c>
      <c r="Z10">
        <v>1.0668218469627664</v>
      </c>
      <c r="AA10">
        <v>1.1176228872943268</v>
      </c>
      <c r="AB10">
        <v>1.1176228872943268</v>
      </c>
      <c r="AC10">
        <v>1.124359942822168</v>
      </c>
      <c r="AD10">
        <v>1.1136973523596152</v>
      </c>
      <c r="AE10">
        <v>1.2197637668700547</v>
      </c>
      <c r="AF10">
        <v>1.166730559614835</v>
      </c>
      <c r="AG10">
        <v>1.1940887219156182</v>
      </c>
      <c r="AH10">
        <v>1.2509500896258858</v>
      </c>
      <c r="AI10">
        <v>1.2509500896258858</v>
      </c>
      <c r="AJ10">
        <v>1.1993634300019824</v>
      </c>
    </row>
    <row r="11" spans="1:36" hidden="1">
      <c r="A11" s="71" t="s">
        <v>83</v>
      </c>
      <c r="B11" s="17" t="s">
        <v>89</v>
      </c>
      <c r="C11" s="89" t="s">
        <v>93</v>
      </c>
      <c r="D11" s="89" t="s">
        <v>93</v>
      </c>
      <c r="E11" s="90" t="str">
        <f>VLOOKUP(D11,'[46]Yield Cal Oracle (base) '!$D:$E,2,0)</f>
        <v>TEFPSA21L566MPHF8R</v>
      </c>
      <c r="F11" s="91">
        <v>21.485972257637037</v>
      </c>
      <c r="G11" s="92">
        <v>20.462830721559083</v>
      </c>
      <c r="H11" s="92">
        <v>23.53225532979295</v>
      </c>
      <c r="I11" s="92">
        <v>20.069903656453921</v>
      </c>
      <c r="J11" s="92">
        <v>21.025613354380294</v>
      </c>
      <c r="K11" s="92">
        <v>21.025613354380294</v>
      </c>
      <c r="L11" s="93">
        <f>SUM(F11:K11)/6</f>
        <v>21.267031445700596</v>
      </c>
      <c r="M11" s="91">
        <v>20.870846747822096</v>
      </c>
      <c r="N11" s="92">
        <v>22.858546438090869</v>
      </c>
      <c r="O11" s="92">
        <v>21.864696592956484</v>
      </c>
      <c r="P11" s="92">
        <v>22.377392444726198</v>
      </c>
      <c r="Q11" s="92">
        <v>23.442982561141729</v>
      </c>
      <c r="R11" s="92">
        <v>23.442982561141729</v>
      </c>
      <c r="S11" s="94">
        <f>SUM(M11:R11)/6</f>
        <v>22.476241224313185</v>
      </c>
      <c r="U11" t="s">
        <v>83</v>
      </c>
      <c r="V11" t="s">
        <v>89</v>
      </c>
      <c r="W11">
        <v>21.485972257637037</v>
      </c>
      <c r="X11">
        <v>20.462830721559083</v>
      </c>
      <c r="Y11">
        <v>23.53225532979295</v>
      </c>
      <c r="Z11">
        <v>20.069903656453921</v>
      </c>
      <c r="AA11">
        <v>21.025613354380294</v>
      </c>
      <c r="AB11">
        <v>21.025613354380294</v>
      </c>
      <c r="AC11">
        <v>21.267031445700596</v>
      </c>
      <c r="AD11">
        <v>20.870846747822096</v>
      </c>
      <c r="AE11">
        <v>22.858546438090869</v>
      </c>
      <c r="AF11">
        <v>21.864696592956484</v>
      </c>
      <c r="AG11">
        <v>22.377392444726198</v>
      </c>
      <c r="AH11">
        <v>23.442982561141729</v>
      </c>
      <c r="AI11">
        <v>23.442982561141729</v>
      </c>
      <c r="AJ11">
        <v>22.476241224313185</v>
      </c>
    </row>
    <row r="12" spans="1:36" hidden="1">
      <c r="A12" s="71" t="s">
        <v>83</v>
      </c>
      <c r="B12" s="17" t="s">
        <v>89</v>
      </c>
      <c r="C12" s="89" t="s">
        <v>94</v>
      </c>
      <c r="D12" s="89" t="s">
        <v>94</v>
      </c>
      <c r="E12" s="90" t="str">
        <f>VLOOKUP(D12,'[46]Yield Cal Oracle (base) '!$D:$E,2,0)</f>
        <v>TEFPSA21N396MHF8R</v>
      </c>
      <c r="F12" s="91">
        <v>10416.317144370189</v>
      </c>
      <c r="G12" s="92">
        <v>9920.3020422573245</v>
      </c>
      <c r="H12" s="92">
        <v>11408.347348595922</v>
      </c>
      <c r="I12" s="92">
        <v>9637.2720915620303</v>
      </c>
      <c r="J12" s="92">
        <v>10096.189810207841</v>
      </c>
      <c r="K12" s="92">
        <v>10096.189810207841</v>
      </c>
      <c r="L12" s="93">
        <f>SUM(F12:K12)/6</f>
        <v>10262.436374533523</v>
      </c>
      <c r="M12" s="91">
        <v>9986.3658715384081</v>
      </c>
      <c r="N12" s="92">
        <v>10937.448335494448</v>
      </c>
      <c r="O12" s="92">
        <v>10461.907103516427</v>
      </c>
      <c r="P12" s="92">
        <v>10707.223978279837</v>
      </c>
      <c r="Q12" s="92">
        <v>11217.091786769355</v>
      </c>
      <c r="R12" s="92">
        <v>11217.091786769355</v>
      </c>
      <c r="S12" s="94">
        <f>SUM(M12:R12)/6</f>
        <v>10754.521477061306</v>
      </c>
      <c r="U12" t="s">
        <v>83</v>
      </c>
      <c r="V12" t="s">
        <v>89</v>
      </c>
      <c r="W12">
        <v>10416.317144370189</v>
      </c>
      <c r="X12">
        <v>9920.3020422573245</v>
      </c>
      <c r="Y12">
        <v>11408.347348595922</v>
      </c>
      <c r="Z12">
        <v>9637.2720915620303</v>
      </c>
      <c r="AA12">
        <v>10096.189810207841</v>
      </c>
      <c r="AB12">
        <v>10096.189810207841</v>
      </c>
      <c r="AC12">
        <v>10262.436374533523</v>
      </c>
      <c r="AD12">
        <v>9986.3658715384081</v>
      </c>
      <c r="AE12">
        <v>10937.448335494448</v>
      </c>
      <c r="AF12">
        <v>10461.907103516427</v>
      </c>
      <c r="AG12">
        <v>10707.223978279837</v>
      </c>
      <c r="AH12">
        <v>11217.091786769355</v>
      </c>
      <c r="AI12">
        <v>11217.091786769355</v>
      </c>
      <c r="AJ12">
        <v>10754.521477061306</v>
      </c>
    </row>
    <row r="13" spans="1:36">
      <c r="A13" s="81"/>
      <c r="B13" s="82" t="s">
        <v>89</v>
      </c>
      <c r="C13" s="83" t="s">
        <v>88</v>
      </c>
      <c r="D13" s="83" t="s">
        <v>88</v>
      </c>
      <c r="E13" s="84"/>
      <c r="F13" s="85">
        <f t="shared" ref="F13:S13" si="1">SUM(F8:F12)</f>
        <v>10445.048127774991</v>
      </c>
      <c r="G13" s="86">
        <f t="shared" si="1"/>
        <v>9947.664883595231</v>
      </c>
      <c r="H13" s="86">
        <f t="shared" si="1"/>
        <v>11439.814616134516</v>
      </c>
      <c r="I13" s="86">
        <f t="shared" si="1"/>
        <v>9664.9781960438595</v>
      </c>
      <c r="J13" s="86">
        <f t="shared" si="1"/>
        <v>10125.215252998329</v>
      </c>
      <c r="K13" s="86">
        <f t="shared" si="1"/>
        <v>10125.215252998329</v>
      </c>
      <c r="L13" s="87">
        <f t="shared" si="1"/>
        <v>10291.322721590874</v>
      </c>
      <c r="M13" s="85">
        <f t="shared" si="1"/>
        <v>10015.61767333904</v>
      </c>
      <c r="N13" s="86">
        <f t="shared" si="1"/>
        <v>10969.486023180854</v>
      </c>
      <c r="O13" s="86">
        <f t="shared" si="1"/>
        <v>10492.551848259947</v>
      </c>
      <c r="P13" s="86">
        <f t="shared" si="1"/>
        <v>10738.234539718957</v>
      </c>
      <c r="Q13" s="86">
        <f t="shared" si="1"/>
        <v>11249.579041610337</v>
      </c>
      <c r="R13" s="86">
        <f t="shared" si="1"/>
        <v>11249.579041610337</v>
      </c>
      <c r="S13" s="88">
        <f t="shared" si="1"/>
        <v>10785.841361286579</v>
      </c>
      <c r="V13" t="s">
        <v>89</v>
      </c>
      <c r="W13">
        <v>10445.048127774991</v>
      </c>
      <c r="X13">
        <v>9947.664883595231</v>
      </c>
      <c r="Y13">
        <v>11439.814616134516</v>
      </c>
      <c r="Z13">
        <v>9664.9781960438595</v>
      </c>
      <c r="AA13">
        <v>10125.215252998329</v>
      </c>
      <c r="AB13">
        <v>10125.215252998329</v>
      </c>
      <c r="AC13">
        <v>10291.322721590874</v>
      </c>
      <c r="AD13">
        <v>10015.61767333904</v>
      </c>
      <c r="AE13">
        <v>10969.486023180854</v>
      </c>
      <c r="AF13">
        <v>10492.551848259947</v>
      </c>
      <c r="AG13">
        <v>10738.234539718957</v>
      </c>
      <c r="AH13">
        <v>11249.579041610337</v>
      </c>
      <c r="AI13">
        <v>11249.579041610337</v>
      </c>
      <c r="AJ13">
        <v>10785.841361286579</v>
      </c>
    </row>
    <row r="14" spans="1:36" hidden="1">
      <c r="A14" s="71" t="s">
        <v>83</v>
      </c>
      <c r="B14" s="17" t="s">
        <v>95</v>
      </c>
      <c r="C14" s="89" t="s">
        <v>96</v>
      </c>
      <c r="D14" s="89" t="s">
        <v>96</v>
      </c>
      <c r="E14" s="90" t="str">
        <f>VLOOKUP(D14,'[46]Yield Cal Oracle (base) '!$D:$E,2,0)</f>
        <v>TEFPSA30J107M1008R</v>
      </c>
      <c r="F14" s="91">
        <v>1.4727613673840425</v>
      </c>
      <c r="G14" s="92">
        <v>1.4026298736990879</v>
      </c>
      <c r="H14" s="92">
        <v>1.6130243547539513</v>
      </c>
      <c r="I14" s="92">
        <v>1.4619053531002553</v>
      </c>
      <c r="J14" s="92">
        <v>1.531519893724077</v>
      </c>
      <c r="K14" s="92">
        <v>1.531519893724077</v>
      </c>
      <c r="L14" s="93">
        <f t="shared" ref="L14:L51" si="2">SUM(F14:K14)/6</f>
        <v>1.502226789397582</v>
      </c>
      <c r="M14" s="91">
        <v>1.5025161318913978</v>
      </c>
      <c r="N14" s="92">
        <v>1.6456129063572451</v>
      </c>
      <c r="O14" s="92">
        <v>1.5740645191243214</v>
      </c>
      <c r="P14" s="92">
        <v>1.538048314042453</v>
      </c>
      <c r="Q14" s="92">
        <v>1.6112887099492363</v>
      </c>
      <c r="R14" s="92">
        <v>1.6112887099492363</v>
      </c>
      <c r="S14" s="94">
        <f t="shared" ref="S14:S42" si="3">SUM(M14:R14)/6</f>
        <v>1.5804698818856486</v>
      </c>
      <c r="U14" t="s">
        <v>83</v>
      </c>
      <c r="V14" t="s">
        <v>95</v>
      </c>
      <c r="W14">
        <v>1.4727613673840425</v>
      </c>
      <c r="X14">
        <v>1.4026298736990879</v>
      </c>
      <c r="Y14">
        <v>1.6130243547539513</v>
      </c>
      <c r="Z14">
        <v>1.4619053531002553</v>
      </c>
      <c r="AA14">
        <v>1.531519893724077</v>
      </c>
      <c r="AB14">
        <v>1.531519893724077</v>
      </c>
      <c r="AC14">
        <v>1.502226789397582</v>
      </c>
      <c r="AD14">
        <v>1.5025161318913978</v>
      </c>
      <c r="AE14">
        <v>1.6456129063572451</v>
      </c>
      <c r="AF14">
        <v>1.5740645191243214</v>
      </c>
      <c r="AG14">
        <v>1.538048314042453</v>
      </c>
      <c r="AH14">
        <v>1.6112887099492363</v>
      </c>
      <c r="AI14">
        <v>1.6112887099492363</v>
      </c>
      <c r="AJ14">
        <v>1.5804698818856486</v>
      </c>
    </row>
    <row r="15" spans="1:36" hidden="1">
      <c r="A15" s="71" t="s">
        <v>83</v>
      </c>
      <c r="B15" s="17" t="s">
        <v>95</v>
      </c>
      <c r="C15" s="89" t="s">
        <v>97</v>
      </c>
      <c r="D15" s="89" t="s">
        <v>97</v>
      </c>
      <c r="E15" s="90" t="str">
        <f>VLOOKUP(D15,'[46]Yield Cal Oracle (base) '!$D:$E,2,0)</f>
        <v>TEFPSA30J107M1008RSY</v>
      </c>
      <c r="F15" s="91">
        <v>36.819034184601058</v>
      </c>
      <c r="G15" s="92">
        <v>35.065746842477196</v>
      </c>
      <c r="H15" s="92">
        <v>40.325608868848775</v>
      </c>
      <c r="I15" s="92">
        <v>36.547633827506381</v>
      </c>
      <c r="J15" s="92">
        <v>38.287997343101921</v>
      </c>
      <c r="K15" s="92">
        <v>38.287997343101921</v>
      </c>
      <c r="L15" s="93">
        <f t="shared" si="2"/>
        <v>37.555669734939542</v>
      </c>
      <c r="M15" s="91">
        <v>37.562903297284947</v>
      </c>
      <c r="N15" s="92">
        <v>41.140322658931133</v>
      </c>
      <c r="O15" s="92">
        <v>39.351612978108029</v>
      </c>
      <c r="P15" s="92">
        <v>38.451207851061312</v>
      </c>
      <c r="Q15" s="92">
        <v>40.282217748730901</v>
      </c>
      <c r="R15" s="92">
        <v>40.282217748730901</v>
      </c>
      <c r="S15" s="94">
        <f t="shared" si="3"/>
        <v>39.511747047141199</v>
      </c>
      <c r="U15" t="s">
        <v>83</v>
      </c>
      <c r="V15" t="s">
        <v>95</v>
      </c>
      <c r="W15">
        <v>36.819034184601058</v>
      </c>
      <c r="X15">
        <v>35.065746842477196</v>
      </c>
      <c r="Y15">
        <v>40.325608868848775</v>
      </c>
      <c r="Z15">
        <v>36.547633827506381</v>
      </c>
      <c r="AA15">
        <v>38.287997343101921</v>
      </c>
      <c r="AB15">
        <v>38.287997343101921</v>
      </c>
      <c r="AC15">
        <v>37.555669734939542</v>
      </c>
      <c r="AD15">
        <v>37.562903297284947</v>
      </c>
      <c r="AE15">
        <v>41.140322658931133</v>
      </c>
      <c r="AF15">
        <v>39.351612978108029</v>
      </c>
      <c r="AG15">
        <v>38.451207851061312</v>
      </c>
      <c r="AH15">
        <v>40.282217748730901</v>
      </c>
      <c r="AI15">
        <v>40.282217748730901</v>
      </c>
      <c r="AJ15">
        <v>39.511747047141199</v>
      </c>
    </row>
    <row r="16" spans="1:36" hidden="1">
      <c r="A16" s="71" t="s">
        <v>83</v>
      </c>
      <c r="B16" s="17" t="s">
        <v>95</v>
      </c>
      <c r="C16" s="89" t="s">
        <v>98</v>
      </c>
      <c r="D16" s="89" t="s">
        <v>98</v>
      </c>
      <c r="E16" s="90" t="str">
        <f>VLOOKUP(D16,'[46]Yield Cal Oracle (base) '!$D:$E,2,0)</f>
        <v>TEFPSA30J107M55PHF8R</v>
      </c>
      <c r="F16" s="91">
        <v>5.2737659291780572</v>
      </c>
      <c r="G16" s="92">
        <v>5.0226342182648169</v>
      </c>
      <c r="H16" s="92">
        <v>5.7760293510045395</v>
      </c>
      <c r="I16" s="92">
        <v>4.9785019524929091</v>
      </c>
      <c r="J16" s="92">
        <v>5.2155734740401911</v>
      </c>
      <c r="K16" s="92">
        <v>5.2155734740401911</v>
      </c>
      <c r="L16" s="93">
        <f>SUM(F16:K16)/6</f>
        <v>5.2470130665034507</v>
      </c>
      <c r="M16" s="91">
        <v>5.1972543110115383</v>
      </c>
      <c r="N16" s="92">
        <v>5.6922309120602561</v>
      </c>
      <c r="O16" s="92">
        <v>5.4447426115358963</v>
      </c>
      <c r="P16" s="92">
        <v>5.572414035606216</v>
      </c>
      <c r="Q16" s="92">
        <v>5.8377670849207979</v>
      </c>
      <c r="R16" s="92">
        <v>5.8377670849207979</v>
      </c>
      <c r="S16" s="94">
        <f t="shared" si="3"/>
        <v>5.5970293400092501</v>
      </c>
      <c r="U16" t="s">
        <v>83</v>
      </c>
      <c r="V16" t="s">
        <v>95</v>
      </c>
      <c r="W16">
        <v>5.2737659291780572</v>
      </c>
      <c r="X16">
        <v>5.0226342182648169</v>
      </c>
      <c r="Y16">
        <v>5.7760293510045395</v>
      </c>
      <c r="Z16">
        <v>4.9785019524929091</v>
      </c>
      <c r="AA16">
        <v>5.2155734740401911</v>
      </c>
      <c r="AB16">
        <v>5.2155734740401911</v>
      </c>
      <c r="AC16">
        <v>5.2470130665034507</v>
      </c>
      <c r="AD16">
        <v>5.1972543110115383</v>
      </c>
      <c r="AE16">
        <v>5.6922309120602561</v>
      </c>
      <c r="AF16">
        <v>5.4447426115358963</v>
      </c>
      <c r="AG16">
        <v>5.572414035606216</v>
      </c>
      <c r="AH16">
        <v>5.8377670849207979</v>
      </c>
      <c r="AI16">
        <v>5.8377670849207979</v>
      </c>
      <c r="AJ16">
        <v>5.5970293400092501</v>
      </c>
    </row>
    <row r="17" spans="1:36" hidden="1">
      <c r="A17" s="71" t="s">
        <v>83</v>
      </c>
      <c r="B17" s="17" t="s">
        <v>95</v>
      </c>
      <c r="C17" s="89" t="s">
        <v>99</v>
      </c>
      <c r="D17" s="89" t="s">
        <v>99</v>
      </c>
      <c r="E17" s="90" t="str">
        <f>VLOOKUP(D17,'[46]Yield Cal Oracle (base) '!$D:$E,2,0)</f>
        <v>TEFPSA30J107M55RHF8R</v>
      </c>
      <c r="F17" s="91">
        <v>955.30502831396814</v>
      </c>
      <c r="G17" s="92">
        <v>909.81431267996959</v>
      </c>
      <c r="H17" s="92">
        <v>1046.2864595819649</v>
      </c>
      <c r="I17" s="92">
        <v>901.82006796585836</v>
      </c>
      <c r="J17" s="92">
        <v>944.76388072613747</v>
      </c>
      <c r="K17" s="92">
        <v>944.76388072613747</v>
      </c>
      <c r="L17" s="93">
        <f t="shared" si="2"/>
        <v>950.45893833233924</v>
      </c>
      <c r="M17" s="91">
        <v>941.44549519466148</v>
      </c>
      <c r="N17" s="92">
        <v>1031.1069709274864</v>
      </c>
      <c r="O17" s="92">
        <v>986.27623306107387</v>
      </c>
      <c r="P17" s="92">
        <v>1009.4029995926688</v>
      </c>
      <c r="Q17" s="92">
        <v>1057.4698090970817</v>
      </c>
      <c r="R17" s="92">
        <v>1057.4698090970817</v>
      </c>
      <c r="S17" s="94">
        <f t="shared" si="3"/>
        <v>1013.8618861616757</v>
      </c>
      <c r="U17" t="s">
        <v>83</v>
      </c>
      <c r="V17" t="s">
        <v>95</v>
      </c>
      <c r="W17">
        <v>955.30502831396814</v>
      </c>
      <c r="X17">
        <v>909.81431267996959</v>
      </c>
      <c r="Y17">
        <v>1046.2864595819649</v>
      </c>
      <c r="Z17">
        <v>901.82006796585836</v>
      </c>
      <c r="AA17">
        <v>944.76388072613747</v>
      </c>
      <c r="AB17">
        <v>944.76388072613747</v>
      </c>
      <c r="AC17">
        <v>950.45893833233924</v>
      </c>
      <c r="AD17">
        <v>941.44549519466148</v>
      </c>
      <c r="AE17">
        <v>1031.1069709274864</v>
      </c>
      <c r="AF17">
        <v>986.27623306107387</v>
      </c>
      <c r="AG17">
        <v>1009.4029995926688</v>
      </c>
      <c r="AH17">
        <v>1057.4698090970817</v>
      </c>
      <c r="AI17">
        <v>1057.4698090970817</v>
      </c>
      <c r="AJ17">
        <v>1013.8618861616757</v>
      </c>
    </row>
    <row r="18" spans="1:36" hidden="1">
      <c r="A18" s="71" t="s">
        <v>83</v>
      </c>
      <c r="B18" s="17" t="s">
        <v>95</v>
      </c>
      <c r="C18" s="89" t="s">
        <v>100</v>
      </c>
      <c r="D18" s="89" t="s">
        <v>100</v>
      </c>
      <c r="E18" s="90" t="str">
        <f>VLOOKUP(D18,'[46]Yield Cal Oracle (base) '!$D:$E,2,0)</f>
        <v>TEFPSA30J107M708R</v>
      </c>
      <c r="F18" s="91">
        <v>725.10680781492692</v>
      </c>
      <c r="G18" s="92">
        <v>690.57791220469232</v>
      </c>
      <c r="H18" s="92">
        <v>794.16459903539624</v>
      </c>
      <c r="I18" s="92">
        <v>713.95131846392815</v>
      </c>
      <c r="J18" s="92">
        <v>747.94900029554367</v>
      </c>
      <c r="K18" s="92">
        <v>747.94900029554367</v>
      </c>
      <c r="L18" s="93">
        <f t="shared" si="2"/>
        <v>736.61643968500528</v>
      </c>
      <c r="M18" s="91">
        <v>724.6145577158868</v>
      </c>
      <c r="N18" s="92">
        <v>793.62546797454286</v>
      </c>
      <c r="O18" s="92">
        <v>759.12001284521477</v>
      </c>
      <c r="P18" s="92">
        <v>735.76247398843941</v>
      </c>
      <c r="Q18" s="92">
        <v>770.79878227360314</v>
      </c>
      <c r="R18" s="92">
        <v>770.79878227360314</v>
      </c>
      <c r="S18" s="94">
        <f t="shared" si="3"/>
        <v>759.120012845215</v>
      </c>
      <c r="U18" t="s">
        <v>83</v>
      </c>
      <c r="V18" t="s">
        <v>95</v>
      </c>
      <c r="W18">
        <v>725.10680781492692</v>
      </c>
      <c r="X18">
        <v>690.57791220469232</v>
      </c>
      <c r="Y18">
        <v>794.16459903539624</v>
      </c>
      <c r="Z18">
        <v>713.95131846392815</v>
      </c>
      <c r="AA18">
        <v>747.94900029554367</v>
      </c>
      <c r="AB18">
        <v>747.94900029554367</v>
      </c>
      <c r="AC18">
        <v>736.61643968500528</v>
      </c>
      <c r="AD18">
        <v>724.6145577158868</v>
      </c>
      <c r="AE18">
        <v>793.62546797454286</v>
      </c>
      <c r="AF18">
        <v>759.12001284521477</v>
      </c>
      <c r="AG18">
        <v>735.76247398843941</v>
      </c>
      <c r="AH18">
        <v>770.79878227360314</v>
      </c>
      <c r="AI18">
        <v>770.79878227360314</v>
      </c>
      <c r="AJ18">
        <v>759.120012845215</v>
      </c>
    </row>
    <row r="19" spans="1:36" hidden="1">
      <c r="A19" s="71" t="s">
        <v>83</v>
      </c>
      <c r="B19" s="17" t="s">
        <v>95</v>
      </c>
      <c r="C19" s="89" t="s">
        <v>101</v>
      </c>
      <c r="D19" s="89" t="s">
        <v>101</v>
      </c>
      <c r="E19" s="90" t="str">
        <f>VLOOKUP(D19,'[46]Yield Cal Oracle (base) '!$D:$E,2,0)</f>
        <v>TEFPSA30J107M708RKT</v>
      </c>
      <c r="F19" s="91">
        <v>2731.8502425023071</v>
      </c>
      <c r="G19" s="92">
        <v>2601.7621357164835</v>
      </c>
      <c r="H19" s="92">
        <v>2992.0264560739552</v>
      </c>
      <c r="I19" s="92">
        <v>2935.4475586323683</v>
      </c>
      <c r="J19" s="92">
        <v>3075.2307757101007</v>
      </c>
      <c r="K19" s="92">
        <v>3075.2307757101007</v>
      </c>
      <c r="L19" s="93">
        <f t="shared" si="2"/>
        <v>2901.9246573908858</v>
      </c>
      <c r="M19" s="91">
        <v>3305.7233591135282</v>
      </c>
      <c r="N19" s="92">
        <v>3620.5541552195787</v>
      </c>
      <c r="O19" s="92">
        <v>3463.1387571665541</v>
      </c>
      <c r="P19" s="92">
        <v>3366.8254711175059</v>
      </c>
      <c r="Q19" s="92">
        <v>3527.1504935516728</v>
      </c>
      <c r="R19" s="92">
        <v>3527.1504935516728</v>
      </c>
      <c r="S19" s="94">
        <f t="shared" si="3"/>
        <v>3468.4237882867515</v>
      </c>
      <c r="U19" t="s">
        <v>83</v>
      </c>
      <c r="V19" t="s">
        <v>95</v>
      </c>
      <c r="W19">
        <v>2731.8502425023071</v>
      </c>
      <c r="X19">
        <v>2601.7621357164835</v>
      </c>
      <c r="Y19">
        <v>2992.0264560739552</v>
      </c>
      <c r="Z19">
        <v>2935.4475586323683</v>
      </c>
      <c r="AA19">
        <v>3075.2307757101007</v>
      </c>
      <c r="AB19">
        <v>3075.2307757101007</v>
      </c>
      <c r="AC19">
        <v>2901.9246573908858</v>
      </c>
      <c r="AD19">
        <v>3305.7233591135282</v>
      </c>
      <c r="AE19">
        <v>3620.5541552195787</v>
      </c>
      <c r="AF19">
        <v>3463.1387571665541</v>
      </c>
      <c r="AG19">
        <v>3366.8254711175059</v>
      </c>
      <c r="AH19">
        <v>3527.1504935516728</v>
      </c>
      <c r="AI19">
        <v>3527.1504935516728</v>
      </c>
      <c r="AJ19">
        <v>3468.4237882867515</v>
      </c>
    </row>
    <row r="20" spans="1:36" hidden="1">
      <c r="A20" s="71" t="s">
        <v>83</v>
      </c>
      <c r="B20" s="17" t="s">
        <v>95</v>
      </c>
      <c r="C20" s="89" t="s">
        <v>102</v>
      </c>
      <c r="D20" s="89" t="s">
        <v>102</v>
      </c>
      <c r="E20" s="90" t="str">
        <f>VLOOKUP(D20,'[46]Yield Cal Oracle (base) '!$D:$E,2,0)</f>
        <v>TEFPSA30J107M708RSY</v>
      </c>
      <c r="F20" s="91">
        <v>5.8910454695361683</v>
      </c>
      <c r="G20" s="92">
        <v>5.6105194947963506</v>
      </c>
      <c r="H20" s="92">
        <v>6.4520974190158027</v>
      </c>
      <c r="I20" s="92">
        <v>5.8476214124010202</v>
      </c>
      <c r="J20" s="92">
        <v>6.1260795748963073</v>
      </c>
      <c r="K20" s="92">
        <v>6.1260795748963073</v>
      </c>
      <c r="L20" s="93">
        <f t="shared" si="2"/>
        <v>6.0089071575903263</v>
      </c>
      <c r="M20" s="91">
        <v>6.010064527565592</v>
      </c>
      <c r="N20" s="92">
        <v>6.5824516254289813</v>
      </c>
      <c r="O20" s="92">
        <v>6.2962580764972866</v>
      </c>
      <c r="P20" s="92">
        <v>6.1521932561698121</v>
      </c>
      <c r="Q20" s="92">
        <v>6.4451548397969454</v>
      </c>
      <c r="R20" s="92">
        <v>6.4451548397969454</v>
      </c>
      <c r="S20" s="94">
        <f t="shared" si="3"/>
        <v>6.3218795275425945</v>
      </c>
      <c r="U20" t="s">
        <v>83</v>
      </c>
      <c r="V20" t="s">
        <v>95</v>
      </c>
      <c r="W20">
        <v>5.8910454695361683</v>
      </c>
      <c r="X20">
        <v>5.6105194947963506</v>
      </c>
      <c r="Y20">
        <v>6.4520974190158027</v>
      </c>
      <c r="Z20">
        <v>5.8476214124010202</v>
      </c>
      <c r="AA20">
        <v>6.1260795748963073</v>
      </c>
      <c r="AB20">
        <v>6.1260795748963073</v>
      </c>
      <c r="AC20">
        <v>6.0089071575903263</v>
      </c>
      <c r="AD20">
        <v>6.010064527565592</v>
      </c>
      <c r="AE20">
        <v>6.5824516254289813</v>
      </c>
      <c r="AF20">
        <v>6.2962580764972866</v>
      </c>
      <c r="AG20">
        <v>6.1521932561698121</v>
      </c>
      <c r="AH20">
        <v>6.4451548397969454</v>
      </c>
      <c r="AI20">
        <v>6.4451548397969454</v>
      </c>
      <c r="AJ20">
        <v>6.3218795275425945</v>
      </c>
    </row>
    <row r="21" spans="1:36" hidden="1">
      <c r="A21" s="71" t="s">
        <v>83</v>
      </c>
      <c r="B21" s="17" t="s">
        <v>95</v>
      </c>
      <c r="C21" s="89" t="s">
        <v>103</v>
      </c>
      <c r="D21" s="89" t="s">
        <v>103</v>
      </c>
      <c r="E21" s="90" t="str">
        <f>VLOOKUP(D21,'[46]Yield Cal Oracle (base) '!$D:$E,2,0)</f>
        <v>TEFPSA30J107M70E8RLG</v>
      </c>
      <c r="F21" s="91">
        <v>0.36819034184601057</v>
      </c>
      <c r="G21" s="92">
        <v>0.35065746842477197</v>
      </c>
      <c r="H21" s="92">
        <v>0.40325608868848783</v>
      </c>
      <c r="I21" s="92">
        <v>0.36547633827506382</v>
      </c>
      <c r="J21" s="92">
        <v>0.3828799734310192</v>
      </c>
      <c r="K21" s="92">
        <v>0.3828799734310192</v>
      </c>
      <c r="L21" s="93">
        <f t="shared" si="2"/>
        <v>0.3755566973493954</v>
      </c>
      <c r="M21" s="91">
        <v>0.37562903297284955</v>
      </c>
      <c r="N21" s="92">
        <v>0.41140322658931144</v>
      </c>
      <c r="O21" s="92">
        <v>0.39351612978108047</v>
      </c>
      <c r="P21" s="92">
        <v>0.3845120785106132</v>
      </c>
      <c r="Q21" s="92">
        <v>0.40282217748730909</v>
      </c>
      <c r="R21" s="92">
        <v>0.40282217748730909</v>
      </c>
      <c r="S21" s="94">
        <f t="shared" si="3"/>
        <v>0.39511747047141216</v>
      </c>
      <c r="U21" t="s">
        <v>83</v>
      </c>
      <c r="V21" t="s">
        <v>95</v>
      </c>
      <c r="W21">
        <v>0.36819034184601057</v>
      </c>
      <c r="X21">
        <v>0.35065746842477197</v>
      </c>
      <c r="Y21">
        <v>0.40325608868848783</v>
      </c>
      <c r="Z21">
        <v>0.36547633827506382</v>
      </c>
      <c r="AA21">
        <v>0.3828799734310192</v>
      </c>
      <c r="AB21">
        <v>0.3828799734310192</v>
      </c>
      <c r="AC21">
        <v>0.3755566973493954</v>
      </c>
      <c r="AD21">
        <v>0.37562903297284955</v>
      </c>
      <c r="AE21">
        <v>0.41140322658931144</v>
      </c>
      <c r="AF21">
        <v>0.39351612978108047</v>
      </c>
      <c r="AG21">
        <v>0.3845120785106132</v>
      </c>
      <c r="AH21">
        <v>0.40282217748730909</v>
      </c>
      <c r="AI21">
        <v>0.40282217748730909</v>
      </c>
      <c r="AJ21">
        <v>0.39511747047141216</v>
      </c>
    </row>
    <row r="22" spans="1:36" hidden="1">
      <c r="A22" s="71" t="s">
        <v>83</v>
      </c>
      <c r="B22" s="17" t="s">
        <v>95</v>
      </c>
      <c r="C22" s="89" t="s">
        <v>104</v>
      </c>
      <c r="D22" s="89" t="s">
        <v>104</v>
      </c>
      <c r="E22" s="90" t="str">
        <f>VLOOKUP(D22,'[46]Yield Cal Oracle (base) '!$D:$E,2,0)</f>
        <v>TEFPSA30J107M8RKT</v>
      </c>
      <c r="F22" s="91">
        <v>270.93117183363086</v>
      </c>
      <c r="G22" s="92">
        <v>258.02968746060088</v>
      </c>
      <c r="H22" s="92">
        <v>296.73414057969097</v>
      </c>
      <c r="I22" s="92">
        <v>293.04820251455533</v>
      </c>
      <c r="J22" s="92">
        <v>307.00287882477227</v>
      </c>
      <c r="K22" s="92">
        <v>307.00287882477227</v>
      </c>
      <c r="L22" s="93">
        <f t="shared" si="2"/>
        <v>288.79149333967047</v>
      </c>
      <c r="M22" s="91">
        <v>315.57433466384828</v>
      </c>
      <c r="N22" s="92">
        <v>345.62903320326234</v>
      </c>
      <c r="O22" s="92">
        <v>330.60168393355525</v>
      </c>
      <c r="P22" s="92">
        <v>320.87698484529051</v>
      </c>
      <c r="Q22" s="92">
        <v>336.15684126649489</v>
      </c>
      <c r="R22" s="92">
        <v>336.15684126649489</v>
      </c>
      <c r="S22" s="94">
        <f t="shared" si="3"/>
        <v>330.83261986315773</v>
      </c>
      <c r="U22" t="s">
        <v>83</v>
      </c>
      <c r="V22" t="s">
        <v>95</v>
      </c>
      <c r="W22">
        <v>270.93117183363086</v>
      </c>
      <c r="X22">
        <v>258.02968746060088</v>
      </c>
      <c r="Y22">
        <v>296.73414057969097</v>
      </c>
      <c r="Z22">
        <v>293.04820251455533</v>
      </c>
      <c r="AA22">
        <v>307.00287882477227</v>
      </c>
      <c r="AB22">
        <v>307.00287882477227</v>
      </c>
      <c r="AC22">
        <v>288.79149333967047</v>
      </c>
      <c r="AD22">
        <v>315.57433466384828</v>
      </c>
      <c r="AE22">
        <v>345.62903320326234</v>
      </c>
      <c r="AF22">
        <v>330.60168393355525</v>
      </c>
      <c r="AG22">
        <v>320.87698484529051</v>
      </c>
      <c r="AH22">
        <v>336.15684126649489</v>
      </c>
      <c r="AI22">
        <v>336.15684126649489</v>
      </c>
      <c r="AJ22">
        <v>330.83261986315773</v>
      </c>
    </row>
    <row r="23" spans="1:36" hidden="1">
      <c r="A23" s="71" t="s">
        <v>83</v>
      </c>
      <c r="B23" s="17" t="s">
        <v>95</v>
      </c>
      <c r="C23" s="89" t="s">
        <v>105</v>
      </c>
      <c r="D23" s="89" t="s">
        <v>105</v>
      </c>
      <c r="E23" s="90" t="str">
        <f>VLOOKUP(D23,'[46]Yield Cal Oracle (base) '!$D:$E,2,0)</f>
        <v>TEFPSA30J476M150HF8R</v>
      </c>
      <c r="F23" s="91">
        <v>20.718366150342373</v>
      </c>
      <c r="G23" s="92">
        <v>19.731777286040348</v>
      </c>
      <c r="H23" s="92">
        <v>22.691543878946405</v>
      </c>
      <c r="I23" s="92">
        <v>19.558400527650715</v>
      </c>
      <c r="J23" s="92">
        <v>20.489752933729324</v>
      </c>
      <c r="K23" s="92">
        <v>20.489752933729324</v>
      </c>
      <c r="L23" s="93">
        <f t="shared" si="2"/>
        <v>20.613265618406412</v>
      </c>
      <c r="M23" s="91">
        <v>20.417784793259614</v>
      </c>
      <c r="N23" s="92">
        <v>22.362335725951006</v>
      </c>
      <c r="O23" s="92">
        <v>21.39006025960531</v>
      </c>
      <c r="P23" s="92">
        <v>21.891626568452999</v>
      </c>
      <c r="Q23" s="92">
        <v>22.934084976474566</v>
      </c>
      <c r="R23" s="92">
        <v>22.934084976474566</v>
      </c>
      <c r="S23" s="94">
        <f t="shared" si="3"/>
        <v>21.988329550036344</v>
      </c>
      <c r="U23" t="s">
        <v>83</v>
      </c>
      <c r="V23" t="s">
        <v>95</v>
      </c>
      <c r="W23">
        <v>20.718366150342373</v>
      </c>
      <c r="X23">
        <v>19.731777286040348</v>
      </c>
      <c r="Y23">
        <v>22.691543878946405</v>
      </c>
      <c r="Z23">
        <v>19.558400527650715</v>
      </c>
      <c r="AA23">
        <v>20.489752933729324</v>
      </c>
      <c r="AB23">
        <v>20.489752933729324</v>
      </c>
      <c r="AC23">
        <v>20.613265618406412</v>
      </c>
      <c r="AD23">
        <v>20.417784793259614</v>
      </c>
      <c r="AE23">
        <v>22.362335725951006</v>
      </c>
      <c r="AF23">
        <v>21.39006025960531</v>
      </c>
      <c r="AG23">
        <v>21.891626568452999</v>
      </c>
      <c r="AH23">
        <v>22.934084976474566</v>
      </c>
      <c r="AI23">
        <v>22.934084976474566</v>
      </c>
      <c r="AJ23">
        <v>21.988329550036344</v>
      </c>
    </row>
    <row r="24" spans="1:36" hidden="1">
      <c r="A24" s="71" t="s">
        <v>83</v>
      </c>
      <c r="B24" s="17" t="s">
        <v>95</v>
      </c>
      <c r="C24" s="89" t="s">
        <v>106</v>
      </c>
      <c r="D24" s="89" t="s">
        <v>106</v>
      </c>
      <c r="E24" s="90" t="str">
        <f>VLOOKUP(D24,'[46]Yield Cal Oracle (base) '!$D:$E,2,0)</f>
        <v>TEFPSA30J476M8RKT</v>
      </c>
      <c r="F24" s="91">
        <v>145.80472812563366</v>
      </c>
      <c r="G24" s="92">
        <v>138.86164583393682</v>
      </c>
      <c r="H24" s="92">
        <v>159.69089270902734</v>
      </c>
      <c r="I24" s="92">
        <v>156.61263104963166</v>
      </c>
      <c r="J24" s="92">
        <v>164.07037538532839</v>
      </c>
      <c r="K24" s="92">
        <v>164.07037538532839</v>
      </c>
      <c r="L24" s="93">
        <f t="shared" si="2"/>
        <v>154.8517747481477</v>
      </c>
      <c r="M24" s="91">
        <v>184.42666252391402</v>
      </c>
      <c r="N24" s="92">
        <v>201.99110657381058</v>
      </c>
      <c r="O24" s="92">
        <v>193.20888454886233</v>
      </c>
      <c r="P24" s="92">
        <v>173.88799609397608</v>
      </c>
      <c r="Q24" s="92">
        <v>182.16837686035589</v>
      </c>
      <c r="R24" s="92">
        <v>182.16837686035589</v>
      </c>
      <c r="S24" s="94">
        <f t="shared" si="3"/>
        <v>186.30856724354578</v>
      </c>
      <c r="U24" t="s">
        <v>83</v>
      </c>
      <c r="V24" t="s">
        <v>95</v>
      </c>
      <c r="W24">
        <v>145.80472812563366</v>
      </c>
      <c r="X24">
        <v>138.86164583393682</v>
      </c>
      <c r="Y24">
        <v>159.69089270902734</v>
      </c>
      <c r="Z24">
        <v>156.61263104963166</v>
      </c>
      <c r="AA24">
        <v>164.07037538532839</v>
      </c>
      <c r="AB24">
        <v>164.07037538532839</v>
      </c>
      <c r="AC24">
        <v>154.8517747481477</v>
      </c>
      <c r="AD24">
        <v>184.42666252391402</v>
      </c>
      <c r="AE24">
        <v>201.99110657381058</v>
      </c>
      <c r="AF24">
        <v>193.20888454886233</v>
      </c>
      <c r="AG24">
        <v>173.88799609397608</v>
      </c>
      <c r="AH24">
        <v>182.16837686035589</v>
      </c>
      <c r="AI24">
        <v>182.16837686035589</v>
      </c>
      <c r="AJ24">
        <v>186.30856724354578</v>
      </c>
    </row>
    <row r="25" spans="1:36" hidden="1">
      <c r="A25" s="71" t="s">
        <v>83</v>
      </c>
      <c r="B25" s="17" t="s">
        <v>95</v>
      </c>
      <c r="C25" s="89" t="s">
        <v>107</v>
      </c>
      <c r="D25" s="89" t="s">
        <v>107</v>
      </c>
      <c r="E25" s="90" t="str">
        <f>VLOOKUP(D25,'[46]Yield Cal Oracle (base) '!$D:$E,2,0)</f>
        <v>TEFPSA30J476M8RSY</v>
      </c>
      <c r="F25" s="91">
        <v>15.463994357532444</v>
      </c>
      <c r="G25" s="92">
        <v>14.727613673840422</v>
      </c>
      <c r="H25" s="92">
        <v>16.936755724916484</v>
      </c>
      <c r="I25" s="92">
        <v>15.35000620755268</v>
      </c>
      <c r="J25" s="92">
        <v>16.080958884102806</v>
      </c>
      <c r="K25" s="92">
        <v>16.080958884102806</v>
      </c>
      <c r="L25" s="93">
        <f t="shared" si="2"/>
        <v>15.773381288674608</v>
      </c>
      <c r="M25" s="91">
        <v>15.776419384859677</v>
      </c>
      <c r="N25" s="92">
        <v>17.278935516751076</v>
      </c>
      <c r="O25" s="92">
        <v>16.527677450805374</v>
      </c>
      <c r="P25" s="92">
        <v>16.149507297445755</v>
      </c>
      <c r="Q25" s="92">
        <v>16.918531454466983</v>
      </c>
      <c r="R25" s="92">
        <v>16.918531454466983</v>
      </c>
      <c r="S25" s="94">
        <f t="shared" si="3"/>
        <v>16.594933759799307</v>
      </c>
      <c r="U25" t="s">
        <v>83</v>
      </c>
      <c r="V25" t="s">
        <v>95</v>
      </c>
      <c r="W25">
        <v>15.463994357532444</v>
      </c>
      <c r="X25">
        <v>14.727613673840422</v>
      </c>
      <c r="Y25">
        <v>16.936755724916484</v>
      </c>
      <c r="Z25">
        <v>15.35000620755268</v>
      </c>
      <c r="AA25">
        <v>16.080958884102806</v>
      </c>
      <c r="AB25">
        <v>16.080958884102806</v>
      </c>
      <c r="AC25">
        <v>15.773381288674608</v>
      </c>
      <c r="AD25">
        <v>15.776419384859677</v>
      </c>
      <c r="AE25">
        <v>17.278935516751076</v>
      </c>
      <c r="AF25">
        <v>16.527677450805374</v>
      </c>
      <c r="AG25">
        <v>16.149507297445755</v>
      </c>
      <c r="AH25">
        <v>16.918531454466983</v>
      </c>
      <c r="AI25">
        <v>16.918531454466983</v>
      </c>
      <c r="AJ25">
        <v>16.594933759799307</v>
      </c>
    </row>
    <row r="26" spans="1:36" hidden="1">
      <c r="A26" s="71" t="s">
        <v>83</v>
      </c>
      <c r="B26" s="17" t="s">
        <v>95</v>
      </c>
      <c r="C26" s="89" t="s">
        <v>108</v>
      </c>
      <c r="D26" s="89" t="s">
        <v>108</v>
      </c>
      <c r="E26" s="90" t="str">
        <f>VLOOKUP(D26,'[46]Yield Cal Oracle (base) '!$D:$E,2,0)</f>
        <v>TEFPSA31A226M8RKT</v>
      </c>
      <c r="F26" s="91">
        <v>7.0755290829141702</v>
      </c>
      <c r="G26" s="92">
        <v>6.7385991265849245</v>
      </c>
      <c r="H26" s="92">
        <v>7.7493889955726623</v>
      </c>
      <c r="I26" s="92">
        <v>8.0282804495043205</v>
      </c>
      <c r="J26" s="92">
        <v>8.4105795185283352</v>
      </c>
      <c r="K26" s="92">
        <v>8.4105795185283352</v>
      </c>
      <c r="L26" s="93">
        <f t="shared" si="2"/>
        <v>7.7354927819387918</v>
      </c>
      <c r="M26" s="91">
        <v>8.5804807975329975</v>
      </c>
      <c r="N26" s="92">
        <v>9.3976694449170903</v>
      </c>
      <c r="O26" s="92">
        <v>8.9890751212250439</v>
      </c>
      <c r="P26" s="92">
        <v>8.7284959759012892</v>
      </c>
      <c r="Q26" s="92">
        <v>9.1441386414203993</v>
      </c>
      <c r="R26" s="92">
        <v>9.1441386414203993</v>
      </c>
      <c r="S26" s="94">
        <f t="shared" si="3"/>
        <v>8.997333103736203</v>
      </c>
      <c r="U26" t="s">
        <v>83</v>
      </c>
      <c r="V26" t="s">
        <v>95</v>
      </c>
      <c r="W26">
        <v>7.0755290829141702</v>
      </c>
      <c r="X26">
        <v>6.7385991265849245</v>
      </c>
      <c r="Y26">
        <v>7.7493889955726623</v>
      </c>
      <c r="Z26">
        <v>8.0282804495043205</v>
      </c>
      <c r="AA26">
        <v>8.4105795185283352</v>
      </c>
      <c r="AB26">
        <v>8.4105795185283352</v>
      </c>
      <c r="AC26">
        <v>7.7354927819387918</v>
      </c>
      <c r="AD26">
        <v>8.5804807975329975</v>
      </c>
      <c r="AE26">
        <v>9.3976694449170903</v>
      </c>
      <c r="AF26">
        <v>8.9890751212250439</v>
      </c>
      <c r="AG26">
        <v>8.7284959759012892</v>
      </c>
      <c r="AH26">
        <v>9.1441386414203993</v>
      </c>
      <c r="AI26">
        <v>9.1441386414203993</v>
      </c>
      <c r="AJ26">
        <v>8.997333103736203</v>
      </c>
    </row>
    <row r="27" spans="1:36" hidden="1">
      <c r="A27" s="71" t="s">
        <v>83</v>
      </c>
      <c r="B27" s="17" t="s">
        <v>95</v>
      </c>
      <c r="C27" s="89" t="s">
        <v>109</v>
      </c>
      <c r="D27" s="89" t="s">
        <v>109</v>
      </c>
      <c r="E27" s="90" t="str">
        <f>VLOOKUP(D27,'[46]Yield Cal Oracle (base) '!$D:$E,2,0)</f>
        <v>TEFPSA31A336M8R</v>
      </c>
      <c r="F27" s="91">
        <v>0.73638068369202125</v>
      </c>
      <c r="G27" s="92">
        <v>0.70131493684954394</v>
      </c>
      <c r="H27" s="92">
        <v>0.80651217737697567</v>
      </c>
      <c r="I27" s="92">
        <v>0.73095267655012786</v>
      </c>
      <c r="J27" s="92">
        <v>0.76575994686203863</v>
      </c>
      <c r="K27" s="92">
        <v>0.76575994686203863</v>
      </c>
      <c r="L27" s="93">
        <f t="shared" si="2"/>
        <v>0.75111339469879101</v>
      </c>
      <c r="M27" s="91">
        <v>0.75125806594569922</v>
      </c>
      <c r="N27" s="92">
        <v>0.822806453178623</v>
      </c>
      <c r="O27" s="92">
        <v>0.78703225956216105</v>
      </c>
      <c r="P27" s="92">
        <v>0.76902415702122662</v>
      </c>
      <c r="Q27" s="92">
        <v>0.80564435497461839</v>
      </c>
      <c r="R27" s="92">
        <v>0.80564435497461839</v>
      </c>
      <c r="S27" s="94">
        <f t="shared" si="3"/>
        <v>0.79023494094282443</v>
      </c>
      <c r="U27" t="s">
        <v>83</v>
      </c>
      <c r="V27" t="s">
        <v>95</v>
      </c>
      <c r="W27">
        <v>0.73638068369202125</v>
      </c>
      <c r="X27">
        <v>0.70131493684954394</v>
      </c>
      <c r="Y27">
        <v>0.80651217737697567</v>
      </c>
      <c r="Z27">
        <v>0.73095267655012786</v>
      </c>
      <c r="AA27">
        <v>0.76575994686203863</v>
      </c>
      <c r="AB27">
        <v>0.76575994686203863</v>
      </c>
      <c r="AC27">
        <v>0.75111339469879101</v>
      </c>
      <c r="AD27">
        <v>0.75125806594569922</v>
      </c>
      <c r="AE27">
        <v>0.822806453178623</v>
      </c>
      <c r="AF27">
        <v>0.78703225956216105</v>
      </c>
      <c r="AG27">
        <v>0.76902415702122662</v>
      </c>
      <c r="AH27">
        <v>0.80564435497461839</v>
      </c>
      <c r="AI27">
        <v>0.80564435497461839</v>
      </c>
      <c r="AJ27">
        <v>0.79023494094282443</v>
      </c>
    </row>
    <row r="28" spans="1:36" hidden="1">
      <c r="A28" s="71" t="s">
        <v>83</v>
      </c>
      <c r="B28" s="17" t="s">
        <v>95</v>
      </c>
      <c r="C28" s="89" t="s">
        <v>110</v>
      </c>
      <c r="D28" s="89" t="s">
        <v>110</v>
      </c>
      <c r="E28" s="90" t="str">
        <f>VLOOKUP(D28,'[46]Yield Cal Oracle (base) '!$D:$E,2,0)</f>
        <v>TEFPSA31A336M8RKT</v>
      </c>
      <c r="F28" s="91">
        <v>1.9792726022453839</v>
      </c>
      <c r="G28" s="92">
        <v>1.8850215259479846</v>
      </c>
      <c r="H28" s="92">
        <v>2.1677747548401824</v>
      </c>
      <c r="I28" s="92">
        <v>2.1594889308744367</v>
      </c>
      <c r="J28" s="92">
        <v>2.2623217371065527</v>
      </c>
      <c r="K28" s="92">
        <v>2.2623217371065527</v>
      </c>
      <c r="L28" s="93">
        <f t="shared" si="2"/>
        <v>2.1193668813535158</v>
      </c>
      <c r="M28" s="91">
        <v>2.4374874062396317</v>
      </c>
      <c r="N28" s="92">
        <v>2.6696290639767395</v>
      </c>
      <c r="O28" s="92">
        <v>2.5535582351081856</v>
      </c>
      <c r="P28" s="92">
        <v>2.4757786083073769</v>
      </c>
      <c r="Q28" s="92">
        <v>2.5936728277505852</v>
      </c>
      <c r="R28" s="92">
        <v>2.5936728277505852</v>
      </c>
      <c r="S28" s="94">
        <f t="shared" si="3"/>
        <v>2.553966494855517</v>
      </c>
      <c r="U28" t="s">
        <v>83</v>
      </c>
      <c r="V28" t="s">
        <v>95</v>
      </c>
      <c r="W28">
        <v>1.9792726022453839</v>
      </c>
      <c r="X28">
        <v>1.8850215259479846</v>
      </c>
      <c r="Y28">
        <v>2.1677747548401824</v>
      </c>
      <c r="Z28">
        <v>2.1594889308744367</v>
      </c>
      <c r="AA28">
        <v>2.2623217371065527</v>
      </c>
      <c r="AB28">
        <v>2.2623217371065527</v>
      </c>
      <c r="AC28">
        <v>2.1193668813535158</v>
      </c>
      <c r="AD28">
        <v>2.4374874062396317</v>
      </c>
      <c r="AE28">
        <v>2.6696290639767395</v>
      </c>
      <c r="AF28">
        <v>2.5535582351081856</v>
      </c>
      <c r="AG28">
        <v>2.4757786083073769</v>
      </c>
      <c r="AH28">
        <v>2.5936728277505852</v>
      </c>
      <c r="AI28">
        <v>2.5936728277505852</v>
      </c>
      <c r="AJ28">
        <v>2.553966494855517</v>
      </c>
    </row>
    <row r="29" spans="1:36" hidden="1">
      <c r="A29" s="71" t="s">
        <v>83</v>
      </c>
      <c r="B29" s="17" t="s">
        <v>95</v>
      </c>
      <c r="C29" s="89" t="s">
        <v>111</v>
      </c>
      <c r="D29" s="89" t="s">
        <v>111</v>
      </c>
      <c r="E29" s="90" t="str">
        <f>VLOOKUP(D29,'[46]Yield Cal Oracle (base) '!$D:$E,2,0)</f>
        <v>TEFPSA31A336MHF8R</v>
      </c>
      <c r="F29" s="91">
        <v>342.38931897393678</v>
      </c>
      <c r="G29" s="92">
        <v>326.08506568946365</v>
      </c>
      <c r="H29" s="92">
        <v>374.99782554288311</v>
      </c>
      <c r="I29" s="92">
        <v>305.29057142224929</v>
      </c>
      <c r="J29" s="92">
        <v>319.8282176804517</v>
      </c>
      <c r="K29" s="92">
        <v>319.8282176804517</v>
      </c>
      <c r="L29" s="93">
        <f t="shared" si="2"/>
        <v>331.40320283157268</v>
      </c>
      <c r="M29" s="91">
        <v>311.897769382641</v>
      </c>
      <c r="N29" s="92">
        <v>341.60231884765443</v>
      </c>
      <c r="O29" s="92">
        <v>326.75004411514772</v>
      </c>
      <c r="P29" s="92">
        <v>334.4118651457386</v>
      </c>
      <c r="Q29" s="92">
        <v>350.33623967648811</v>
      </c>
      <c r="R29" s="92">
        <v>350.33623967648811</v>
      </c>
      <c r="S29" s="94">
        <f t="shared" si="3"/>
        <v>335.88907947402635</v>
      </c>
      <c r="U29" t="s">
        <v>83</v>
      </c>
      <c r="V29" t="s">
        <v>95</v>
      </c>
      <c r="W29">
        <v>342.38931897393678</v>
      </c>
      <c r="X29">
        <v>326.08506568946365</v>
      </c>
      <c r="Y29">
        <v>374.99782554288311</v>
      </c>
      <c r="Z29">
        <v>305.29057142224929</v>
      </c>
      <c r="AA29">
        <v>319.8282176804517</v>
      </c>
      <c r="AB29">
        <v>319.8282176804517</v>
      </c>
      <c r="AC29">
        <v>331.40320283157268</v>
      </c>
      <c r="AD29">
        <v>311.897769382641</v>
      </c>
      <c r="AE29">
        <v>341.60231884765443</v>
      </c>
      <c r="AF29">
        <v>326.75004411514772</v>
      </c>
      <c r="AG29">
        <v>334.4118651457386</v>
      </c>
      <c r="AH29">
        <v>350.33623967648811</v>
      </c>
      <c r="AI29">
        <v>350.33623967648811</v>
      </c>
      <c r="AJ29">
        <v>335.88907947402635</v>
      </c>
    </row>
    <row r="30" spans="1:36" hidden="1">
      <c r="A30" s="71" t="s">
        <v>83</v>
      </c>
      <c r="B30" s="17" t="s">
        <v>95</v>
      </c>
      <c r="C30" s="89" t="s">
        <v>112</v>
      </c>
      <c r="D30" s="89" t="s">
        <v>112</v>
      </c>
      <c r="E30" s="90" t="str">
        <f>VLOOKUP(D30,'[46]Yield Cal Oracle (base) '!$D:$E,2,0)</f>
        <v>TEFPSA31A476M100HF8R</v>
      </c>
      <c r="F30" s="91">
        <v>0.37669756636986118</v>
      </c>
      <c r="G30" s="92">
        <v>0.35875958701891547</v>
      </c>
      <c r="H30" s="92">
        <v>0.41257352507175277</v>
      </c>
      <c r="I30" s="92">
        <v>0.3556072823209222</v>
      </c>
      <c r="J30" s="92">
        <v>0.37254096243144225</v>
      </c>
      <c r="K30" s="92">
        <v>0.37254096243144225</v>
      </c>
      <c r="L30" s="93">
        <f t="shared" si="2"/>
        <v>0.37478664760738933</v>
      </c>
      <c r="M30" s="91">
        <v>0.37123245078653844</v>
      </c>
      <c r="N30" s="92">
        <v>0.40658792229001822</v>
      </c>
      <c r="O30" s="92">
        <v>0.38891018653827836</v>
      </c>
      <c r="P30" s="92">
        <v>0.39802957397187261</v>
      </c>
      <c r="Q30" s="92">
        <v>0.4169833632086285</v>
      </c>
      <c r="R30" s="92">
        <v>0.4169833632086285</v>
      </c>
      <c r="S30" s="94">
        <f t="shared" si="3"/>
        <v>0.39978781000066083</v>
      </c>
      <c r="U30" t="s">
        <v>83</v>
      </c>
      <c r="V30" t="s">
        <v>95</v>
      </c>
      <c r="W30">
        <v>0.37669756636986118</v>
      </c>
      <c r="X30">
        <v>0.35875958701891547</v>
      </c>
      <c r="Y30">
        <v>0.41257352507175277</v>
      </c>
      <c r="Z30">
        <v>0.3556072823209222</v>
      </c>
      <c r="AA30">
        <v>0.37254096243144225</v>
      </c>
      <c r="AB30">
        <v>0.37254096243144225</v>
      </c>
      <c r="AC30">
        <v>0.37478664760738933</v>
      </c>
      <c r="AD30">
        <v>0.37123245078653844</v>
      </c>
      <c r="AE30">
        <v>0.40658792229001822</v>
      </c>
      <c r="AF30">
        <v>0.38891018653827836</v>
      </c>
      <c r="AG30">
        <v>0.39802957397187261</v>
      </c>
      <c r="AH30">
        <v>0.4169833632086285</v>
      </c>
      <c r="AI30">
        <v>0.4169833632086285</v>
      </c>
      <c r="AJ30">
        <v>0.39978781000066083</v>
      </c>
    </row>
    <row r="31" spans="1:36" hidden="1">
      <c r="A31" s="71" t="s">
        <v>83</v>
      </c>
      <c r="B31" s="17" t="s">
        <v>95</v>
      </c>
      <c r="C31" s="89" t="s">
        <v>113</v>
      </c>
      <c r="D31" s="89" t="s">
        <v>113</v>
      </c>
      <c r="E31" s="90" t="str">
        <f>VLOOKUP(D31,'[46]Yield Cal Oracle (base) '!$D:$E,2,0)</f>
        <v>TEFPSA31A476M100PHF8R</v>
      </c>
      <c r="F31" s="91">
        <v>50.854171459931266</v>
      </c>
      <c r="G31" s="92">
        <v>48.432544247553594</v>
      </c>
      <c r="H31" s="92">
        <v>55.697425884686631</v>
      </c>
      <c r="I31" s="92">
        <v>48.00698311332448</v>
      </c>
      <c r="J31" s="92">
        <v>50.293029928244692</v>
      </c>
      <c r="K31" s="92">
        <v>50.293029928244692</v>
      </c>
      <c r="L31" s="93">
        <f t="shared" si="2"/>
        <v>50.596197426997556</v>
      </c>
      <c r="M31" s="91">
        <v>50.11638085618268</v>
      </c>
      <c r="N31" s="92">
        <v>54.889369509152466</v>
      </c>
      <c r="O31" s="92">
        <v>52.502875182667573</v>
      </c>
      <c r="P31" s="92">
        <v>53.733992486202808</v>
      </c>
      <c r="Q31" s="92">
        <v>56.29275403316484</v>
      </c>
      <c r="R31" s="92">
        <v>56.29275403316484</v>
      </c>
      <c r="S31" s="94">
        <f t="shared" si="3"/>
        <v>53.9713543500892</v>
      </c>
      <c r="U31" t="s">
        <v>83</v>
      </c>
      <c r="V31" t="s">
        <v>95</v>
      </c>
      <c r="W31">
        <v>50.854171459931266</v>
      </c>
      <c r="X31">
        <v>48.432544247553594</v>
      </c>
      <c r="Y31">
        <v>55.697425884686631</v>
      </c>
      <c r="Z31">
        <v>48.00698311332448</v>
      </c>
      <c r="AA31">
        <v>50.293029928244692</v>
      </c>
      <c r="AB31">
        <v>50.293029928244692</v>
      </c>
      <c r="AC31">
        <v>50.596197426997556</v>
      </c>
      <c r="AD31">
        <v>50.11638085618268</v>
      </c>
      <c r="AE31">
        <v>54.889369509152466</v>
      </c>
      <c r="AF31">
        <v>52.502875182667573</v>
      </c>
      <c r="AG31">
        <v>53.733992486202808</v>
      </c>
      <c r="AH31">
        <v>56.29275403316484</v>
      </c>
      <c r="AI31">
        <v>56.29275403316484</v>
      </c>
      <c r="AJ31">
        <v>53.9713543500892</v>
      </c>
    </row>
    <row r="32" spans="1:36" hidden="1">
      <c r="A32" s="71" t="s">
        <v>83</v>
      </c>
      <c r="B32" s="17" t="s">
        <v>95</v>
      </c>
      <c r="C32" s="89" t="s">
        <v>114</v>
      </c>
      <c r="D32" s="89" t="s">
        <v>114</v>
      </c>
      <c r="E32" s="90" t="str">
        <f>VLOOKUP(D32,'[46]Yield Cal Oracle (base) '!$D:$E,2,0)</f>
        <v>TEFPSA31A476M8RKT</v>
      </c>
      <c r="F32" s="91">
        <v>223.07285601136982</v>
      </c>
      <c r="G32" s="92">
        <v>212.45033905844741</v>
      </c>
      <c r="H32" s="92">
        <v>244.31788991721453</v>
      </c>
      <c r="I32" s="92">
        <v>253.8363591613506</v>
      </c>
      <c r="J32" s="92">
        <v>265.92380483570065</v>
      </c>
      <c r="K32" s="92">
        <v>265.92380483570065</v>
      </c>
      <c r="L32" s="93">
        <f t="shared" si="2"/>
        <v>244.25417563663061</v>
      </c>
      <c r="M32" s="91">
        <v>270.72203233400472</v>
      </c>
      <c r="N32" s="92">
        <v>296.50508303248131</v>
      </c>
      <c r="O32" s="92">
        <v>283.61355768324302</v>
      </c>
      <c r="P32" s="92">
        <v>275.15555789400162</v>
      </c>
      <c r="Q32" s="92">
        <v>288.25820350800171</v>
      </c>
      <c r="R32" s="92">
        <v>288.25820350800171</v>
      </c>
      <c r="S32" s="94">
        <f t="shared" si="3"/>
        <v>283.75210632662237</v>
      </c>
      <c r="U32" t="s">
        <v>83</v>
      </c>
      <c r="V32" t="s">
        <v>95</v>
      </c>
      <c r="W32">
        <v>223.07285601136982</v>
      </c>
      <c r="X32">
        <v>212.45033905844741</v>
      </c>
      <c r="Y32">
        <v>244.31788991721453</v>
      </c>
      <c r="Z32">
        <v>253.8363591613506</v>
      </c>
      <c r="AA32">
        <v>265.92380483570065</v>
      </c>
      <c r="AB32">
        <v>265.92380483570065</v>
      </c>
      <c r="AC32">
        <v>244.25417563663061</v>
      </c>
      <c r="AD32">
        <v>270.72203233400472</v>
      </c>
      <c r="AE32">
        <v>296.50508303248131</v>
      </c>
      <c r="AF32">
        <v>283.61355768324302</v>
      </c>
      <c r="AG32">
        <v>275.15555789400162</v>
      </c>
      <c r="AH32">
        <v>288.25820350800171</v>
      </c>
      <c r="AI32">
        <v>288.25820350800171</v>
      </c>
      <c r="AJ32">
        <v>283.75210632662237</v>
      </c>
    </row>
    <row r="33" spans="1:36" hidden="1">
      <c r="A33" s="71" t="s">
        <v>83</v>
      </c>
      <c r="B33" s="17" t="s">
        <v>95</v>
      </c>
      <c r="C33" s="89"/>
      <c r="D33" s="89"/>
      <c r="E33" s="46"/>
      <c r="F33" s="91"/>
      <c r="G33" s="92"/>
      <c r="H33" s="92"/>
      <c r="I33" s="92"/>
      <c r="J33" s="92"/>
      <c r="K33" s="92"/>
      <c r="L33" s="93">
        <f t="shared" si="2"/>
        <v>0</v>
      </c>
      <c r="M33" s="91"/>
      <c r="N33" s="92"/>
      <c r="O33" s="92"/>
      <c r="P33" s="92"/>
      <c r="Q33" s="92"/>
      <c r="R33" s="92"/>
      <c r="S33" s="94">
        <f t="shared" si="3"/>
        <v>0</v>
      </c>
      <c r="U33" t="s">
        <v>83</v>
      </c>
      <c r="V33" t="s">
        <v>95</v>
      </c>
      <c r="AC33">
        <v>0</v>
      </c>
      <c r="AJ33">
        <v>0</v>
      </c>
    </row>
    <row r="34" spans="1:36" hidden="1">
      <c r="A34" s="71" t="s">
        <v>83</v>
      </c>
      <c r="B34" s="17" t="s">
        <v>95</v>
      </c>
      <c r="C34" s="89"/>
      <c r="D34" s="89"/>
      <c r="E34" s="46"/>
      <c r="F34" s="91"/>
      <c r="G34" s="92"/>
      <c r="H34" s="92"/>
      <c r="I34" s="92"/>
      <c r="J34" s="92"/>
      <c r="K34" s="92"/>
      <c r="L34" s="93">
        <f t="shared" si="2"/>
        <v>0</v>
      </c>
      <c r="M34" s="91"/>
      <c r="N34" s="92"/>
      <c r="O34" s="92"/>
      <c r="P34" s="92"/>
      <c r="Q34" s="92"/>
      <c r="R34" s="92"/>
      <c r="S34" s="94">
        <f t="shared" si="3"/>
        <v>0</v>
      </c>
      <c r="U34" t="s">
        <v>83</v>
      </c>
      <c r="V34" t="s">
        <v>95</v>
      </c>
      <c r="AC34">
        <v>0</v>
      </c>
      <c r="AJ34">
        <v>0</v>
      </c>
    </row>
    <row r="35" spans="1:36" hidden="1">
      <c r="A35" s="71" t="s">
        <v>83</v>
      </c>
      <c r="B35" s="17" t="s">
        <v>95</v>
      </c>
      <c r="C35" s="89"/>
      <c r="D35" s="89"/>
      <c r="E35" s="46"/>
      <c r="F35" s="91"/>
      <c r="G35" s="92"/>
      <c r="H35" s="92"/>
      <c r="I35" s="92"/>
      <c r="J35" s="92"/>
      <c r="K35" s="92"/>
      <c r="L35" s="93">
        <f t="shared" si="2"/>
        <v>0</v>
      </c>
      <c r="M35" s="91"/>
      <c r="N35" s="92"/>
      <c r="O35" s="92"/>
      <c r="P35" s="92"/>
      <c r="Q35" s="92"/>
      <c r="R35" s="92"/>
      <c r="S35" s="94">
        <f t="shared" si="3"/>
        <v>0</v>
      </c>
      <c r="U35" t="s">
        <v>83</v>
      </c>
      <c r="V35" t="s">
        <v>95</v>
      </c>
      <c r="AC35">
        <v>0</v>
      </c>
      <c r="AJ35">
        <v>0</v>
      </c>
    </row>
    <row r="36" spans="1:36" hidden="1">
      <c r="A36" s="71" t="s">
        <v>83</v>
      </c>
      <c r="B36" s="17" t="s">
        <v>95</v>
      </c>
      <c r="C36" s="89"/>
      <c r="D36" s="89"/>
      <c r="E36" s="46"/>
      <c r="F36" s="91"/>
      <c r="G36" s="92"/>
      <c r="H36" s="92"/>
      <c r="I36" s="92"/>
      <c r="J36" s="92"/>
      <c r="K36" s="92"/>
      <c r="L36" s="93">
        <f t="shared" si="2"/>
        <v>0</v>
      </c>
      <c r="M36" s="91"/>
      <c r="N36" s="92"/>
      <c r="O36" s="92"/>
      <c r="P36" s="92"/>
      <c r="Q36" s="92"/>
      <c r="R36" s="92"/>
      <c r="S36" s="94">
        <f t="shared" si="3"/>
        <v>0</v>
      </c>
      <c r="U36" t="s">
        <v>83</v>
      </c>
      <c r="V36" t="s">
        <v>95</v>
      </c>
      <c r="AC36">
        <v>0</v>
      </c>
      <c r="AJ36">
        <v>0</v>
      </c>
    </row>
    <row r="37" spans="1:36" hidden="1">
      <c r="A37" s="71" t="s">
        <v>83</v>
      </c>
      <c r="B37" s="17" t="s">
        <v>95</v>
      </c>
      <c r="C37" s="89"/>
      <c r="D37" s="89"/>
      <c r="E37" s="46"/>
      <c r="F37" s="91"/>
      <c r="G37" s="92"/>
      <c r="H37" s="92"/>
      <c r="I37" s="92"/>
      <c r="J37" s="92"/>
      <c r="K37" s="92"/>
      <c r="L37" s="93">
        <f t="shared" si="2"/>
        <v>0</v>
      </c>
      <c r="M37" s="91"/>
      <c r="N37" s="92"/>
      <c r="O37" s="92"/>
      <c r="P37" s="92"/>
      <c r="Q37" s="92"/>
      <c r="R37" s="92"/>
      <c r="S37" s="94">
        <f t="shared" si="3"/>
        <v>0</v>
      </c>
      <c r="U37" t="s">
        <v>83</v>
      </c>
      <c r="V37" t="s">
        <v>95</v>
      </c>
      <c r="AC37">
        <v>0</v>
      </c>
      <c r="AJ37">
        <v>0</v>
      </c>
    </row>
    <row r="38" spans="1:36" hidden="1">
      <c r="A38" s="71" t="s">
        <v>83</v>
      </c>
      <c r="B38" s="17" t="s">
        <v>95</v>
      </c>
      <c r="C38" s="89"/>
      <c r="D38" s="89"/>
      <c r="E38" s="46"/>
      <c r="F38" s="91"/>
      <c r="G38" s="92"/>
      <c r="H38" s="92"/>
      <c r="I38" s="92"/>
      <c r="J38" s="92"/>
      <c r="K38" s="92"/>
      <c r="L38" s="93">
        <f t="shared" si="2"/>
        <v>0</v>
      </c>
      <c r="M38" s="91"/>
      <c r="N38" s="92"/>
      <c r="O38" s="92"/>
      <c r="P38" s="92"/>
      <c r="Q38" s="92"/>
      <c r="R38" s="92"/>
      <c r="S38" s="94">
        <f t="shared" si="3"/>
        <v>0</v>
      </c>
      <c r="U38" t="s">
        <v>83</v>
      </c>
      <c r="V38" t="s">
        <v>95</v>
      </c>
      <c r="AC38">
        <v>0</v>
      </c>
      <c r="AJ38">
        <v>0</v>
      </c>
    </row>
    <row r="39" spans="1:36" hidden="1">
      <c r="A39" s="71" t="s">
        <v>83</v>
      </c>
      <c r="B39" s="17" t="s">
        <v>95</v>
      </c>
      <c r="C39" s="89"/>
      <c r="D39" s="89"/>
      <c r="E39" s="46"/>
      <c r="F39" s="91"/>
      <c r="G39" s="92"/>
      <c r="H39" s="92"/>
      <c r="I39" s="92"/>
      <c r="J39" s="92"/>
      <c r="K39" s="92"/>
      <c r="L39" s="93">
        <f t="shared" si="2"/>
        <v>0</v>
      </c>
      <c r="M39" s="91"/>
      <c r="N39" s="92"/>
      <c r="O39" s="92"/>
      <c r="P39" s="92"/>
      <c r="Q39" s="92"/>
      <c r="R39" s="92"/>
      <c r="S39" s="94">
        <f t="shared" si="3"/>
        <v>0</v>
      </c>
      <c r="U39" t="s">
        <v>83</v>
      </c>
      <c r="V39" t="s">
        <v>95</v>
      </c>
      <c r="AC39">
        <v>0</v>
      </c>
      <c r="AJ39">
        <v>0</v>
      </c>
    </row>
    <row r="40" spans="1:36" hidden="1">
      <c r="A40" s="71" t="s">
        <v>83</v>
      </c>
      <c r="B40" s="17" t="s">
        <v>95</v>
      </c>
      <c r="C40" s="89"/>
      <c r="D40" s="89"/>
      <c r="E40" s="46"/>
      <c r="F40" s="91"/>
      <c r="G40" s="92"/>
      <c r="H40" s="92"/>
      <c r="I40" s="92"/>
      <c r="J40" s="92"/>
      <c r="K40" s="92"/>
      <c r="L40" s="93">
        <f t="shared" si="2"/>
        <v>0</v>
      </c>
      <c r="M40" s="91"/>
      <c r="N40" s="92"/>
      <c r="O40" s="92"/>
      <c r="P40" s="92"/>
      <c r="Q40" s="92"/>
      <c r="R40" s="92"/>
      <c r="S40" s="94">
        <f t="shared" si="3"/>
        <v>0</v>
      </c>
      <c r="U40" t="s">
        <v>83</v>
      </c>
      <c r="V40" t="s">
        <v>95</v>
      </c>
      <c r="AC40">
        <v>0</v>
      </c>
      <c r="AJ40">
        <v>0</v>
      </c>
    </row>
    <row r="41" spans="1:36" hidden="1">
      <c r="A41" s="71" t="s">
        <v>83</v>
      </c>
      <c r="B41" s="17" t="s">
        <v>95</v>
      </c>
      <c r="C41" s="89"/>
      <c r="D41" s="89"/>
      <c r="E41" s="46"/>
      <c r="F41" s="91"/>
      <c r="G41" s="92"/>
      <c r="H41" s="92"/>
      <c r="I41" s="92"/>
      <c r="J41" s="92"/>
      <c r="K41" s="92"/>
      <c r="L41" s="93">
        <f t="shared" si="2"/>
        <v>0</v>
      </c>
      <c r="M41" s="91"/>
      <c r="N41" s="92"/>
      <c r="O41" s="92"/>
      <c r="P41" s="92"/>
      <c r="Q41" s="92"/>
      <c r="R41" s="92"/>
      <c r="S41" s="94">
        <f t="shared" si="3"/>
        <v>0</v>
      </c>
      <c r="U41" t="s">
        <v>83</v>
      </c>
      <c r="V41" t="s">
        <v>95</v>
      </c>
      <c r="AC41">
        <v>0</v>
      </c>
      <c r="AJ41">
        <v>0</v>
      </c>
    </row>
    <row r="42" spans="1:36" hidden="1">
      <c r="A42" s="71" t="s">
        <v>83</v>
      </c>
      <c r="B42" s="17" t="s">
        <v>95</v>
      </c>
      <c r="C42" s="89"/>
      <c r="D42" s="89"/>
      <c r="E42" s="46"/>
      <c r="F42" s="91"/>
      <c r="G42" s="92"/>
      <c r="H42" s="92"/>
      <c r="I42" s="92"/>
      <c r="J42" s="92"/>
      <c r="K42" s="92"/>
      <c r="L42" s="93">
        <f t="shared" si="2"/>
        <v>0</v>
      </c>
      <c r="M42" s="91"/>
      <c r="N42" s="92"/>
      <c r="O42" s="92"/>
      <c r="P42" s="92"/>
      <c r="Q42" s="92"/>
      <c r="R42" s="92"/>
      <c r="S42" s="94">
        <f t="shared" si="3"/>
        <v>0</v>
      </c>
      <c r="U42" t="s">
        <v>83</v>
      </c>
      <c r="V42" t="s">
        <v>95</v>
      </c>
      <c r="AC42">
        <v>0</v>
      </c>
      <c r="AJ42">
        <v>0</v>
      </c>
    </row>
    <row r="43" spans="1:36">
      <c r="A43" s="81"/>
      <c r="B43" s="82" t="s">
        <v>95</v>
      </c>
      <c r="C43" s="83" t="s">
        <v>88</v>
      </c>
      <c r="D43" s="83" t="s">
        <v>88</v>
      </c>
      <c r="E43" s="84"/>
      <c r="F43" s="85">
        <f>SUM(F14:F42)</f>
        <v>5541.4893627713464</v>
      </c>
      <c r="G43" s="86">
        <f>SUM(G14:G42)</f>
        <v>5277.6089169250927</v>
      </c>
      <c r="H43" s="86">
        <f t="shared" ref="H43:S43" si="4">SUM(H14:H42)</f>
        <v>6069.2502544638537</v>
      </c>
      <c r="I43" s="86">
        <f t="shared" si="4"/>
        <v>5703.3975672814959</v>
      </c>
      <c r="J43" s="86">
        <f t="shared" si="4"/>
        <v>5974.9879276282345</v>
      </c>
      <c r="K43" s="86">
        <f t="shared" si="4"/>
        <v>5974.9879276282345</v>
      </c>
      <c r="L43" s="87">
        <f>SUM(L14:L42)</f>
        <v>5756.9536594497094</v>
      </c>
      <c r="M43" s="85">
        <f t="shared" si="4"/>
        <v>6203.5036219840176</v>
      </c>
      <c r="N43" s="86">
        <f t="shared" si="4"/>
        <v>6794.3134907444028</v>
      </c>
      <c r="O43" s="86">
        <f t="shared" si="4"/>
        <v>6498.9085563642093</v>
      </c>
      <c r="P43" s="86">
        <f t="shared" si="4"/>
        <v>6372.5681788803131</v>
      </c>
      <c r="Q43" s="86">
        <f t="shared" si="4"/>
        <v>6676.0238064460436</v>
      </c>
      <c r="R43" s="86">
        <f t="shared" si="4"/>
        <v>6676.0238064460436</v>
      </c>
      <c r="S43" s="88">
        <f t="shared" si="4"/>
        <v>6536.8902434775055</v>
      </c>
      <c r="V43" t="s">
        <v>95</v>
      </c>
      <c r="W43">
        <v>5541.4893627713464</v>
      </c>
      <c r="X43">
        <v>5277.6089169250927</v>
      </c>
      <c r="Y43">
        <v>6069.2502544638537</v>
      </c>
      <c r="Z43">
        <v>5703.3975672814959</v>
      </c>
      <c r="AA43">
        <v>5974.9879276282345</v>
      </c>
      <c r="AB43">
        <v>5974.9879276282345</v>
      </c>
      <c r="AC43">
        <v>5756.9536594497094</v>
      </c>
      <c r="AD43">
        <v>6203.5036219840176</v>
      </c>
      <c r="AE43">
        <v>6794.3134907444028</v>
      </c>
      <c r="AF43">
        <v>6498.9085563642093</v>
      </c>
      <c r="AG43">
        <v>6372.5681788803131</v>
      </c>
      <c r="AH43">
        <v>6676.0238064460436</v>
      </c>
      <c r="AI43">
        <v>6676.0238064460436</v>
      </c>
      <c r="AJ43">
        <v>6536.8902434775055</v>
      </c>
    </row>
    <row r="44" spans="1:36" hidden="1">
      <c r="A44" s="63" t="s">
        <v>83</v>
      </c>
      <c r="B44" s="64" t="s">
        <v>115</v>
      </c>
      <c r="C44" s="95" t="s">
        <v>116</v>
      </c>
      <c r="D44" s="95" t="s">
        <v>116</v>
      </c>
      <c r="E44" s="90" t="str">
        <f>VLOOKUP(D44,'[46]Yield Cal Oracle (base) '!$D:$E,2,0)</f>
        <v>TEFPSB101D156M150QHF8R</v>
      </c>
      <c r="F44" s="67">
        <v>213.58752013171136</v>
      </c>
      <c r="G44" s="68">
        <v>203.41668583972512</v>
      </c>
      <c r="H44" s="68">
        <v>233.92918871568384</v>
      </c>
      <c r="I44" s="68">
        <v>201.62932907596289</v>
      </c>
      <c r="J44" s="68">
        <v>211.23072569862777</v>
      </c>
      <c r="K44" s="68">
        <v>211.23072569862777</v>
      </c>
      <c r="L44" s="69">
        <f>SUM(F44:K44)/6</f>
        <v>212.50402919338978</v>
      </c>
      <c r="M44" s="67">
        <v>210.48879959596732</v>
      </c>
      <c r="N44" s="68">
        <v>230.53535193844041</v>
      </c>
      <c r="O44" s="68">
        <v>220.51207576720384</v>
      </c>
      <c r="P44" s="68">
        <v>225.68276844205181</v>
      </c>
      <c r="Q44" s="68">
        <v>236.42956693929239</v>
      </c>
      <c r="R44" s="68">
        <v>236.42956693929239</v>
      </c>
      <c r="S44" s="70">
        <f>SUM(M44:R44)/6</f>
        <v>226.67968827037467</v>
      </c>
      <c r="U44" t="s">
        <v>83</v>
      </c>
      <c r="V44" t="s">
        <v>117</v>
      </c>
      <c r="W44">
        <v>213.58752013171136</v>
      </c>
      <c r="X44">
        <v>203.41668583972512</v>
      </c>
      <c r="Y44">
        <v>233.92918871568384</v>
      </c>
      <c r="Z44">
        <v>201.62932907596289</v>
      </c>
      <c r="AA44">
        <v>211.23072569862777</v>
      </c>
      <c r="AB44">
        <v>211.23072569862777</v>
      </c>
      <c r="AC44">
        <v>212.50402919338978</v>
      </c>
      <c r="AD44">
        <v>210.48879959596732</v>
      </c>
      <c r="AE44">
        <v>230.53535193844041</v>
      </c>
      <c r="AF44">
        <v>220.51207576720384</v>
      </c>
      <c r="AG44">
        <v>225.68276844205181</v>
      </c>
      <c r="AH44">
        <v>236.42956693929239</v>
      </c>
      <c r="AI44">
        <v>236.42956693929239</v>
      </c>
      <c r="AJ44">
        <v>226.67968827037467</v>
      </c>
    </row>
    <row r="45" spans="1:36" hidden="1">
      <c r="A45" s="55" t="s">
        <v>83</v>
      </c>
      <c r="B45" s="56" t="s">
        <v>117</v>
      </c>
      <c r="C45" s="57"/>
      <c r="D45" s="57"/>
      <c r="E45" s="58"/>
      <c r="F45" s="77"/>
      <c r="G45" s="78"/>
      <c r="H45" s="78"/>
      <c r="I45" s="78"/>
      <c r="J45" s="78"/>
      <c r="K45" s="78"/>
      <c r="L45" s="79">
        <f>SUM(F45:K45)/6</f>
        <v>0</v>
      </c>
      <c r="M45" s="77"/>
      <c r="N45" s="78"/>
      <c r="O45" s="78"/>
      <c r="P45" s="78"/>
      <c r="Q45" s="78"/>
      <c r="R45" s="78"/>
      <c r="S45" s="80">
        <f>SUM(M45:R45)/6</f>
        <v>0</v>
      </c>
      <c r="U45" t="s">
        <v>83</v>
      </c>
      <c r="V45" t="s">
        <v>117</v>
      </c>
      <c r="AC45">
        <v>0</v>
      </c>
      <c r="AJ45">
        <v>0</v>
      </c>
    </row>
    <row r="46" spans="1:36">
      <c r="A46" s="81"/>
      <c r="B46" s="82" t="s">
        <v>117</v>
      </c>
      <c r="C46" s="83" t="s">
        <v>88</v>
      </c>
      <c r="D46" s="83" t="s">
        <v>88</v>
      </c>
      <c r="E46" s="84"/>
      <c r="F46" s="85">
        <f t="shared" ref="F46:S46" si="5">SUM(F44:F45)</f>
        <v>213.58752013171136</v>
      </c>
      <c r="G46" s="86">
        <f t="shared" si="5"/>
        <v>203.41668583972512</v>
      </c>
      <c r="H46" s="86">
        <f t="shared" si="5"/>
        <v>233.92918871568384</v>
      </c>
      <c r="I46" s="86">
        <f t="shared" si="5"/>
        <v>201.62932907596289</v>
      </c>
      <c r="J46" s="86">
        <f t="shared" si="5"/>
        <v>211.23072569862777</v>
      </c>
      <c r="K46" s="86">
        <f t="shared" si="5"/>
        <v>211.23072569862777</v>
      </c>
      <c r="L46" s="87">
        <f t="shared" si="5"/>
        <v>212.50402919338978</v>
      </c>
      <c r="M46" s="85">
        <f t="shared" si="5"/>
        <v>210.48879959596732</v>
      </c>
      <c r="N46" s="86">
        <f t="shared" si="5"/>
        <v>230.53535193844041</v>
      </c>
      <c r="O46" s="86">
        <f t="shared" si="5"/>
        <v>220.51207576720384</v>
      </c>
      <c r="P46" s="86">
        <f t="shared" si="5"/>
        <v>225.68276844205181</v>
      </c>
      <c r="Q46" s="86">
        <f t="shared" si="5"/>
        <v>236.42956693929239</v>
      </c>
      <c r="R46" s="86">
        <f t="shared" si="5"/>
        <v>236.42956693929239</v>
      </c>
      <c r="S46" s="88">
        <f t="shared" si="5"/>
        <v>226.67968827037467</v>
      </c>
      <c r="V46" t="s">
        <v>117</v>
      </c>
      <c r="W46">
        <v>213.58752013171136</v>
      </c>
      <c r="X46">
        <v>203.41668583972512</v>
      </c>
      <c r="Y46">
        <v>233.92918871568384</v>
      </c>
      <c r="Z46">
        <v>201.62932907596289</v>
      </c>
      <c r="AA46">
        <v>211.23072569862777</v>
      </c>
      <c r="AB46">
        <v>211.23072569862777</v>
      </c>
      <c r="AC46">
        <v>212.50402919338978</v>
      </c>
      <c r="AD46">
        <v>210.48879959596732</v>
      </c>
      <c r="AE46">
        <v>230.53535193844041</v>
      </c>
      <c r="AF46">
        <v>220.51207576720384</v>
      </c>
      <c r="AG46">
        <v>225.68276844205181</v>
      </c>
      <c r="AH46">
        <v>236.42956693929239</v>
      </c>
      <c r="AI46">
        <v>236.42956693929239</v>
      </c>
      <c r="AJ46">
        <v>226.67968827037467</v>
      </c>
    </row>
    <row r="47" spans="1:36" hidden="1">
      <c r="A47" s="71" t="s">
        <v>83</v>
      </c>
      <c r="B47" s="17" t="s">
        <v>118</v>
      </c>
      <c r="C47" s="89" t="s">
        <v>119</v>
      </c>
      <c r="D47" s="89" t="s">
        <v>119</v>
      </c>
      <c r="E47" s="90" t="str">
        <f>VLOOKUP(D47,'[46]Yield Cal Oracle (base) '!$D:$E,2,0)</f>
        <v>TEFPSB31E156M8R</v>
      </c>
      <c r="F47" s="96">
        <v>343.31234669353125</v>
      </c>
      <c r="G47" s="97">
        <v>326.96413970812495</v>
      </c>
      <c r="H47" s="97">
        <v>376.0087606643437</v>
      </c>
      <c r="I47" s="97">
        <v>338.0306182828615</v>
      </c>
      <c r="J47" s="97">
        <v>354.1273143915692</v>
      </c>
      <c r="K47" s="97">
        <v>354.1273143915692</v>
      </c>
      <c r="L47" s="93">
        <f t="shared" si="2"/>
        <v>348.761749022</v>
      </c>
      <c r="M47" s="96">
        <v>343.07928373668102</v>
      </c>
      <c r="N47" s="97">
        <v>375.75350123541256</v>
      </c>
      <c r="O47" s="97">
        <v>359.41639248604679</v>
      </c>
      <c r="P47" s="97">
        <v>348.35742656339932</v>
      </c>
      <c r="Q47" s="97">
        <v>364.94587544737067</v>
      </c>
      <c r="R47" s="97">
        <v>364.94587544737067</v>
      </c>
      <c r="S47" s="94">
        <f>SUM(M47:R47)/6</f>
        <v>359.41639248604685</v>
      </c>
      <c r="U47" t="s">
        <v>83</v>
      </c>
      <c r="V47" t="s">
        <v>118</v>
      </c>
      <c r="W47">
        <v>343.31234669353125</v>
      </c>
      <c r="X47">
        <v>326.96413970812495</v>
      </c>
      <c r="Y47">
        <v>376.0087606643437</v>
      </c>
      <c r="Z47">
        <v>338.0306182828615</v>
      </c>
      <c r="AA47">
        <v>354.1273143915692</v>
      </c>
      <c r="AB47">
        <v>354.1273143915692</v>
      </c>
      <c r="AC47">
        <v>348.761749022</v>
      </c>
      <c r="AD47">
        <v>343.07928373668102</v>
      </c>
      <c r="AE47">
        <v>375.75350123541256</v>
      </c>
      <c r="AF47">
        <v>359.41639248604679</v>
      </c>
      <c r="AG47">
        <v>348.35742656339932</v>
      </c>
      <c r="AH47">
        <v>364.94587544737067</v>
      </c>
      <c r="AI47">
        <v>364.94587544737067</v>
      </c>
      <c r="AJ47">
        <v>359.41639248604685</v>
      </c>
    </row>
    <row r="48" spans="1:36" hidden="1">
      <c r="A48" s="71" t="s">
        <v>83</v>
      </c>
      <c r="B48" s="17" t="s">
        <v>118</v>
      </c>
      <c r="C48" s="89" t="s">
        <v>120</v>
      </c>
      <c r="D48" s="89" t="s">
        <v>120</v>
      </c>
      <c r="E48" s="90" t="str">
        <f>VLOOKUP(D48,'[46]Yield Cal Oracle (base) '!$D:$E,2,0)</f>
        <v>TEFPSB31E156M8RLD</v>
      </c>
      <c r="F48" s="96">
        <v>239.32384493002081</v>
      </c>
      <c r="G48" s="97">
        <v>227.92747136192457</v>
      </c>
      <c r="H48" s="97">
        <v>262.11659206621323</v>
      </c>
      <c r="I48" s="97">
        <v>237.55974170423761</v>
      </c>
      <c r="J48" s="97">
        <v>248.87211035682034</v>
      </c>
      <c r="K48" s="97">
        <v>248.87211035682034</v>
      </c>
      <c r="L48" s="93">
        <f t="shared" si="2"/>
        <v>244.11197846267279</v>
      </c>
      <c r="M48" s="96">
        <v>244.15899664202982</v>
      </c>
      <c r="N48" s="97">
        <v>267.41223441746121</v>
      </c>
      <c r="O48" s="97">
        <v>255.78561552974551</v>
      </c>
      <c r="P48" s="97">
        <v>249.93297920259147</v>
      </c>
      <c r="Q48" s="97">
        <v>261.83454964081011</v>
      </c>
      <c r="R48" s="97">
        <v>261.83454964081011</v>
      </c>
      <c r="S48" s="94">
        <f>SUM(M48:R48)/6</f>
        <v>256.82648751224139</v>
      </c>
      <c r="U48" t="s">
        <v>83</v>
      </c>
      <c r="V48" t="s">
        <v>118</v>
      </c>
      <c r="W48">
        <v>239.32384493002081</v>
      </c>
      <c r="X48">
        <v>227.92747136192457</v>
      </c>
      <c r="Y48">
        <v>262.11659206621323</v>
      </c>
      <c r="Z48">
        <v>237.55974170423761</v>
      </c>
      <c r="AA48">
        <v>248.87211035682034</v>
      </c>
      <c r="AB48">
        <v>248.87211035682034</v>
      </c>
      <c r="AC48">
        <v>244.11197846267279</v>
      </c>
      <c r="AD48">
        <v>244.15899664202982</v>
      </c>
      <c r="AE48">
        <v>267.41223441746121</v>
      </c>
      <c r="AF48">
        <v>255.78561552974551</v>
      </c>
      <c r="AG48">
        <v>249.93297920259147</v>
      </c>
      <c r="AH48">
        <v>261.83454964081011</v>
      </c>
      <c r="AI48">
        <v>261.83454964081011</v>
      </c>
      <c r="AJ48">
        <v>256.82648751224139</v>
      </c>
    </row>
    <row r="49" spans="1:36" hidden="1">
      <c r="A49" s="71" t="s">
        <v>83</v>
      </c>
      <c r="B49" s="17" t="s">
        <v>118</v>
      </c>
      <c r="C49" s="89" t="s">
        <v>121</v>
      </c>
      <c r="D49" s="89" t="s">
        <v>121</v>
      </c>
      <c r="E49" s="90" t="str">
        <f>VLOOKUP(D49,'[46]Yield Cal Oracle (base) '!$D:$E,2,0)</f>
        <v>TEFPSB31V685MHF8R</v>
      </c>
      <c r="F49" s="96">
        <v>1278.4898491638332</v>
      </c>
      <c r="G49" s="97">
        <v>1217.6093801560316</v>
      </c>
      <c r="H49" s="97">
        <v>1400.2507871794364</v>
      </c>
      <c r="I49" s="97">
        <v>1210.6206107646913</v>
      </c>
      <c r="J49" s="97">
        <v>1268.2692112772957</v>
      </c>
      <c r="K49" s="97">
        <v>1268.2692112772957</v>
      </c>
      <c r="L49" s="93">
        <f t="shared" si="2"/>
        <v>1273.9181749697639</v>
      </c>
      <c r="M49" s="96">
        <v>1267.2895833444813</v>
      </c>
      <c r="N49" s="97">
        <v>1387.9838293772889</v>
      </c>
      <c r="O49" s="97">
        <v>1327.636706360885</v>
      </c>
      <c r="P49" s="97">
        <v>1352.5075230456009</v>
      </c>
      <c r="Q49" s="97">
        <v>1416.9126431906293</v>
      </c>
      <c r="R49" s="97">
        <v>1416.9126431906293</v>
      </c>
      <c r="S49" s="94">
        <f>SUM(M49:R49)/6</f>
        <v>1361.5404880849192</v>
      </c>
      <c r="U49" t="s">
        <v>83</v>
      </c>
      <c r="V49" t="s">
        <v>118</v>
      </c>
      <c r="W49">
        <v>1278.4898491638332</v>
      </c>
      <c r="X49">
        <v>1217.6093801560316</v>
      </c>
      <c r="Y49">
        <v>1400.2507871794364</v>
      </c>
      <c r="Z49">
        <v>1210.6206107646913</v>
      </c>
      <c r="AA49">
        <v>1268.2692112772957</v>
      </c>
      <c r="AB49">
        <v>1268.2692112772957</v>
      </c>
      <c r="AC49">
        <v>1273.9181749697639</v>
      </c>
      <c r="AD49">
        <v>1267.2895833444813</v>
      </c>
      <c r="AE49">
        <v>1387.9838293772889</v>
      </c>
      <c r="AF49">
        <v>1327.636706360885</v>
      </c>
      <c r="AG49">
        <v>1352.5075230456009</v>
      </c>
      <c r="AH49">
        <v>1416.9126431906293</v>
      </c>
      <c r="AI49">
        <v>1416.9126431906293</v>
      </c>
      <c r="AJ49">
        <v>1361.5404880849192</v>
      </c>
    </row>
    <row r="50" spans="1:36" hidden="1">
      <c r="A50" s="71" t="s">
        <v>83</v>
      </c>
      <c r="B50" s="17" t="s">
        <v>118</v>
      </c>
      <c r="C50" s="89"/>
      <c r="D50" s="89"/>
      <c r="E50" s="46"/>
      <c r="F50" s="96"/>
      <c r="G50" s="97"/>
      <c r="H50" s="97"/>
      <c r="I50" s="97"/>
      <c r="J50" s="97"/>
      <c r="K50" s="97"/>
      <c r="L50" s="93">
        <f t="shared" si="2"/>
        <v>0</v>
      </c>
      <c r="M50" s="96"/>
      <c r="N50" s="97"/>
      <c r="O50" s="97"/>
      <c r="P50" s="97"/>
      <c r="Q50" s="97"/>
      <c r="R50" s="97"/>
      <c r="S50" s="94">
        <f>SUM(M50:R50)/6</f>
        <v>0</v>
      </c>
      <c r="U50" t="s">
        <v>83</v>
      </c>
      <c r="V50" t="s">
        <v>118</v>
      </c>
      <c r="AC50">
        <v>0</v>
      </c>
      <c r="AJ50">
        <v>0</v>
      </c>
    </row>
    <row r="51" spans="1:36" hidden="1">
      <c r="A51" s="71" t="s">
        <v>83</v>
      </c>
      <c r="B51" s="17" t="s">
        <v>118</v>
      </c>
      <c r="C51" s="89"/>
      <c r="D51" s="89"/>
      <c r="E51" s="46"/>
      <c r="F51" s="96"/>
      <c r="G51" s="97"/>
      <c r="H51" s="97"/>
      <c r="I51" s="97"/>
      <c r="J51" s="97"/>
      <c r="K51" s="97"/>
      <c r="L51" s="93">
        <f t="shared" si="2"/>
        <v>0</v>
      </c>
      <c r="M51" s="96"/>
      <c r="N51" s="97"/>
      <c r="O51" s="97"/>
      <c r="P51" s="97"/>
      <c r="Q51" s="97"/>
      <c r="R51" s="97"/>
      <c r="S51" s="94">
        <f>SUM(M51:R51)/6</f>
        <v>0</v>
      </c>
      <c r="U51" t="s">
        <v>83</v>
      </c>
      <c r="V51" t="s">
        <v>118</v>
      </c>
      <c r="AC51">
        <v>0</v>
      </c>
      <c r="AJ51">
        <v>0</v>
      </c>
    </row>
    <row r="52" spans="1:36">
      <c r="A52" s="81"/>
      <c r="B52" s="82" t="s">
        <v>118</v>
      </c>
      <c r="C52" s="83" t="s">
        <v>88</v>
      </c>
      <c r="D52" s="83" t="s">
        <v>88</v>
      </c>
      <c r="E52" s="84"/>
      <c r="F52" s="85">
        <f>SUM(F47:F51)</f>
        <v>1861.1260407873854</v>
      </c>
      <c r="G52" s="86">
        <f t="shared" ref="G52:S52" si="6">SUM(G47:G51)</f>
        <v>1772.5009912260812</v>
      </c>
      <c r="H52" s="86">
        <f t="shared" si="6"/>
        <v>2038.3761399099933</v>
      </c>
      <c r="I52" s="86">
        <f t="shared" si="6"/>
        <v>1786.2109707517902</v>
      </c>
      <c r="J52" s="86">
        <f t="shared" si="6"/>
        <v>1871.2686360256853</v>
      </c>
      <c r="K52" s="86">
        <f t="shared" si="6"/>
        <v>1871.2686360256853</v>
      </c>
      <c r="L52" s="87">
        <f t="shared" si="6"/>
        <v>1866.7919024544367</v>
      </c>
      <c r="M52" s="85">
        <f t="shared" si="6"/>
        <v>1854.5278637231922</v>
      </c>
      <c r="N52" s="86">
        <f t="shared" si="6"/>
        <v>2031.1495650301626</v>
      </c>
      <c r="O52" s="86">
        <f t="shared" si="6"/>
        <v>1942.8387143766772</v>
      </c>
      <c r="P52" s="86">
        <f t="shared" si="6"/>
        <v>1950.7979288115916</v>
      </c>
      <c r="Q52" s="86">
        <f t="shared" si="6"/>
        <v>2043.6930682788102</v>
      </c>
      <c r="R52" s="86">
        <f t="shared" si="6"/>
        <v>2043.6930682788102</v>
      </c>
      <c r="S52" s="98">
        <f t="shared" si="6"/>
        <v>1977.7833680832073</v>
      </c>
      <c r="V52" t="s">
        <v>118</v>
      </c>
      <c r="W52">
        <v>1861.1260407873854</v>
      </c>
      <c r="X52">
        <v>1772.5009912260812</v>
      </c>
      <c r="Y52">
        <v>2038.3761399099933</v>
      </c>
      <c r="Z52">
        <v>1786.2109707517902</v>
      </c>
      <c r="AA52">
        <v>1871.2686360256853</v>
      </c>
      <c r="AB52">
        <v>1871.2686360256853</v>
      </c>
      <c r="AC52">
        <v>1866.7919024544367</v>
      </c>
      <c r="AD52">
        <v>1854.5278637231922</v>
      </c>
      <c r="AE52">
        <v>2031.1495650301626</v>
      </c>
      <c r="AF52">
        <v>1942.8387143766772</v>
      </c>
      <c r="AG52">
        <v>1950.7979288115916</v>
      </c>
      <c r="AH52">
        <v>2043.6930682788102</v>
      </c>
      <c r="AI52">
        <v>2043.6930682788102</v>
      </c>
      <c r="AJ52">
        <v>1977.7833680832073</v>
      </c>
    </row>
    <row r="53" spans="1:36">
      <c r="A53" s="99" t="s">
        <v>83</v>
      </c>
      <c r="B53" s="100"/>
      <c r="C53" s="101" t="s">
        <v>88</v>
      </c>
      <c r="D53" s="101" t="s">
        <v>88</v>
      </c>
      <c r="E53" s="84"/>
      <c r="F53" s="102">
        <f>+F7+F13+F43+F52+F46</f>
        <v>19427.861019614553</v>
      </c>
      <c r="G53" s="103">
        <f t="shared" ref="G53:S53" si="7">+G7+G13+G43+G52+G46</f>
        <v>18502.724780585286</v>
      </c>
      <c r="H53" s="103">
        <f t="shared" si="7"/>
        <v>21278.13349767308</v>
      </c>
      <c r="I53" s="103">
        <f t="shared" si="7"/>
        <v>18645.012381368411</v>
      </c>
      <c r="J53" s="103">
        <f t="shared" si="7"/>
        <v>19532.870113814522</v>
      </c>
      <c r="K53" s="103">
        <f t="shared" si="7"/>
        <v>19532.870113814522</v>
      </c>
      <c r="L53" s="104">
        <f t="shared" si="7"/>
        <v>19486.578651145061</v>
      </c>
      <c r="M53" s="102">
        <f t="shared" si="7"/>
        <v>19630.714325406443</v>
      </c>
      <c r="N53" s="103">
        <f t="shared" si="7"/>
        <v>21500.306165921342</v>
      </c>
      <c r="O53" s="103">
        <f t="shared" si="7"/>
        <v>20565.510245663889</v>
      </c>
      <c r="P53" s="103">
        <f t="shared" si="7"/>
        <v>20733.123461324951</v>
      </c>
      <c r="Q53" s="103">
        <f t="shared" si="7"/>
        <v>21720.415054721376</v>
      </c>
      <c r="R53" s="103">
        <f t="shared" si="7"/>
        <v>21720.415054721376</v>
      </c>
      <c r="S53" s="105">
        <f t="shared" si="7"/>
        <v>20978.414051293228</v>
      </c>
      <c r="U53" t="s">
        <v>122</v>
      </c>
      <c r="W53">
        <v>19427.861019614553</v>
      </c>
      <c r="X53">
        <v>18502.724780585286</v>
      </c>
      <c r="Y53">
        <v>21278.13349767308</v>
      </c>
      <c r="Z53">
        <v>18645.012381368411</v>
      </c>
      <c r="AA53">
        <v>19532.870113814522</v>
      </c>
      <c r="AB53">
        <v>19532.870113814522</v>
      </c>
      <c r="AC53">
        <v>19486.578651145061</v>
      </c>
      <c r="AD53">
        <v>19630.714325406443</v>
      </c>
      <c r="AE53">
        <v>21500.306165921342</v>
      </c>
      <c r="AF53">
        <v>20565.510245663889</v>
      </c>
      <c r="AG53">
        <v>20733.123461324951</v>
      </c>
      <c r="AH53">
        <v>21720.415054721376</v>
      </c>
      <c r="AI53">
        <v>21720.415054721376</v>
      </c>
      <c r="AJ53">
        <v>20978.414051293228</v>
      </c>
    </row>
    <row r="54" spans="1:36" hidden="1">
      <c r="A54" s="71" t="s">
        <v>123</v>
      </c>
      <c r="B54" s="17" t="s">
        <v>89</v>
      </c>
      <c r="C54" s="89" t="s">
        <v>124</v>
      </c>
      <c r="D54" s="89" t="s">
        <v>124</v>
      </c>
      <c r="E54" s="46"/>
      <c r="F54" s="91"/>
      <c r="G54" s="92"/>
      <c r="H54" s="92"/>
      <c r="I54" s="92"/>
      <c r="J54" s="92"/>
      <c r="K54" s="92"/>
      <c r="L54" s="93">
        <f t="shared" ref="L54:L59" si="8">SUM(F54:K54)/6</f>
        <v>0</v>
      </c>
      <c r="M54" s="91"/>
      <c r="N54" s="92"/>
      <c r="O54" s="92"/>
      <c r="P54" s="92"/>
      <c r="Q54" s="92"/>
      <c r="R54" s="92"/>
      <c r="S54" s="106">
        <f t="shared" ref="S54:S59" si="9">SUM(M54:R54)/6</f>
        <v>0</v>
      </c>
      <c r="U54" t="s">
        <v>123</v>
      </c>
      <c r="V54" t="s">
        <v>89</v>
      </c>
      <c r="AC54">
        <v>0</v>
      </c>
      <c r="AJ54">
        <v>0</v>
      </c>
    </row>
    <row r="55" spans="1:36" hidden="1">
      <c r="A55" s="71" t="s">
        <v>123</v>
      </c>
      <c r="B55" s="17" t="s">
        <v>89</v>
      </c>
      <c r="C55" s="89" t="s">
        <v>125</v>
      </c>
      <c r="D55" s="89" t="s">
        <v>125</v>
      </c>
      <c r="E55" s="46"/>
      <c r="F55" s="91">
        <v>-0.25859116584414171</v>
      </c>
      <c r="G55" s="92">
        <v>-0.24627730080394442</v>
      </c>
      <c r="H55" s="92">
        <v>-0.28321889592453608</v>
      </c>
      <c r="I55" s="92">
        <v>-0.30802204727854621</v>
      </c>
      <c r="J55" s="92">
        <v>-0.32268976381561987</v>
      </c>
      <c r="K55" s="92">
        <v>-0.32268976381561987</v>
      </c>
      <c r="L55" s="93">
        <f t="shared" si="8"/>
        <v>-0.29024815624706801</v>
      </c>
      <c r="M55" s="91">
        <v>-0.34850356742445249</v>
      </c>
      <c r="N55" s="92">
        <v>-0.38169438336963846</v>
      </c>
      <c r="O55" s="92">
        <v>-0.3650989753970455</v>
      </c>
      <c r="P55" s="92">
        <v>-0.35458005499161804</v>
      </c>
      <c r="Q55" s="92">
        <v>-0.37146481951502847</v>
      </c>
      <c r="R55" s="92">
        <v>-0.37146481951502847</v>
      </c>
      <c r="S55" s="106">
        <f t="shared" si="9"/>
        <v>-0.36546777003546854</v>
      </c>
      <c r="U55" t="s">
        <v>123</v>
      </c>
      <c r="V55" t="s">
        <v>89</v>
      </c>
      <c r="W55">
        <v>-0.25859116584414171</v>
      </c>
      <c r="X55">
        <v>-0.24627730080394442</v>
      </c>
      <c r="Y55">
        <v>-0.28321889592453608</v>
      </c>
      <c r="Z55">
        <v>-0.30802204727854621</v>
      </c>
      <c r="AA55">
        <v>-0.32268976381561987</v>
      </c>
      <c r="AB55">
        <v>-0.32268976381561987</v>
      </c>
      <c r="AC55">
        <v>-0.29024815624706801</v>
      </c>
      <c r="AD55">
        <v>-0.34850356742445249</v>
      </c>
      <c r="AE55">
        <v>-0.38169438336963846</v>
      </c>
      <c r="AF55">
        <v>-0.3650989753970455</v>
      </c>
      <c r="AG55">
        <v>-0.35458005499161804</v>
      </c>
      <c r="AH55">
        <v>-0.37146481951502847</v>
      </c>
      <c r="AI55">
        <v>-0.37146481951502847</v>
      </c>
      <c r="AJ55">
        <v>-0.36546777003546854</v>
      </c>
    </row>
    <row r="56" spans="1:36" hidden="1">
      <c r="A56" s="71" t="s">
        <v>123</v>
      </c>
      <c r="B56" s="17" t="s">
        <v>89</v>
      </c>
      <c r="C56" s="89" t="s">
        <v>126</v>
      </c>
      <c r="D56" s="89" t="s">
        <v>126</v>
      </c>
      <c r="E56" s="46"/>
      <c r="F56" s="91"/>
      <c r="G56" s="92"/>
      <c r="H56" s="92"/>
      <c r="I56" s="92"/>
      <c r="J56" s="92"/>
      <c r="K56" s="92"/>
      <c r="L56" s="93">
        <f t="shared" si="8"/>
        <v>0</v>
      </c>
      <c r="M56" s="91"/>
      <c r="N56" s="92"/>
      <c r="O56" s="92"/>
      <c r="P56" s="92"/>
      <c r="Q56" s="92"/>
      <c r="R56" s="92"/>
      <c r="S56" s="106">
        <f t="shared" si="9"/>
        <v>0</v>
      </c>
      <c r="U56" t="s">
        <v>123</v>
      </c>
      <c r="V56" t="s">
        <v>89</v>
      </c>
      <c r="AC56">
        <v>0</v>
      </c>
      <c r="AJ56">
        <v>0</v>
      </c>
    </row>
    <row r="57" spans="1:36" hidden="1">
      <c r="A57" s="71" t="s">
        <v>123</v>
      </c>
      <c r="B57" s="17" t="s">
        <v>89</v>
      </c>
      <c r="C57" s="89" t="s">
        <v>127</v>
      </c>
      <c r="D57" s="89" t="s">
        <v>127</v>
      </c>
      <c r="E57" s="46"/>
      <c r="F57" s="91"/>
      <c r="G57" s="92"/>
      <c r="H57" s="92"/>
      <c r="I57" s="92"/>
      <c r="J57" s="92"/>
      <c r="K57" s="92"/>
      <c r="L57" s="93">
        <f t="shared" si="8"/>
        <v>0</v>
      </c>
      <c r="M57" s="91"/>
      <c r="N57" s="92"/>
      <c r="O57" s="92"/>
      <c r="P57" s="92"/>
      <c r="Q57" s="92"/>
      <c r="R57" s="92"/>
      <c r="S57" s="106">
        <f t="shared" si="9"/>
        <v>0</v>
      </c>
      <c r="U57" t="s">
        <v>123</v>
      </c>
      <c r="V57" t="s">
        <v>89</v>
      </c>
      <c r="AC57">
        <v>0</v>
      </c>
      <c r="AJ57">
        <v>0</v>
      </c>
    </row>
    <row r="58" spans="1:36" hidden="1">
      <c r="A58" s="71" t="s">
        <v>123</v>
      </c>
      <c r="B58" s="17" t="s">
        <v>89</v>
      </c>
      <c r="C58" s="89" t="s">
        <v>128</v>
      </c>
      <c r="D58" s="89" t="s">
        <v>128</v>
      </c>
      <c r="E58" s="46"/>
      <c r="F58" s="91"/>
      <c r="G58" s="92"/>
      <c r="H58" s="92"/>
      <c r="I58" s="92"/>
      <c r="J58" s="92"/>
      <c r="K58" s="92"/>
      <c r="L58" s="93">
        <f t="shared" si="8"/>
        <v>0</v>
      </c>
      <c r="M58" s="91"/>
      <c r="N58" s="92"/>
      <c r="O58" s="92"/>
      <c r="P58" s="92"/>
      <c r="Q58" s="92"/>
      <c r="R58" s="92"/>
      <c r="S58" s="106">
        <f t="shared" si="9"/>
        <v>0</v>
      </c>
      <c r="U58" t="s">
        <v>123</v>
      </c>
      <c r="V58" t="s">
        <v>89</v>
      </c>
      <c r="AC58">
        <v>0</v>
      </c>
      <c r="AJ58">
        <v>0</v>
      </c>
    </row>
    <row r="59" spans="1:36" hidden="1">
      <c r="A59" s="71" t="s">
        <v>123</v>
      </c>
      <c r="B59" s="17" t="s">
        <v>89</v>
      </c>
      <c r="C59" s="89" t="s">
        <v>129</v>
      </c>
      <c r="D59" s="89" t="s">
        <v>129</v>
      </c>
      <c r="E59" s="46"/>
      <c r="F59" s="91"/>
      <c r="G59" s="92"/>
      <c r="H59" s="92"/>
      <c r="I59" s="92"/>
      <c r="J59" s="92"/>
      <c r="K59" s="92"/>
      <c r="L59" s="93">
        <f t="shared" si="8"/>
        <v>0</v>
      </c>
      <c r="M59" s="91"/>
      <c r="N59" s="92"/>
      <c r="O59" s="92"/>
      <c r="P59" s="92"/>
      <c r="Q59" s="92"/>
      <c r="R59" s="92"/>
      <c r="S59" s="94">
        <f t="shared" si="9"/>
        <v>0</v>
      </c>
      <c r="U59" t="s">
        <v>123</v>
      </c>
      <c r="V59" t="s">
        <v>89</v>
      </c>
      <c r="AC59">
        <v>0</v>
      </c>
      <c r="AJ59">
        <v>0</v>
      </c>
    </row>
    <row r="60" spans="1:36" hidden="1">
      <c r="A60" s="81"/>
      <c r="B60" s="82" t="s">
        <v>89</v>
      </c>
      <c r="C60" s="83" t="s">
        <v>88</v>
      </c>
      <c r="D60" s="83" t="s">
        <v>88</v>
      </c>
      <c r="E60" s="84"/>
      <c r="F60" s="85">
        <f>SUM(F54:F59)</f>
        <v>-0.25859116584414171</v>
      </c>
      <c r="G60" s="86">
        <f t="shared" ref="G60:S60" si="10">SUM(G54:G59)</f>
        <v>-0.24627730080394442</v>
      </c>
      <c r="H60" s="86">
        <f t="shared" si="10"/>
        <v>-0.28321889592453608</v>
      </c>
      <c r="I60" s="86">
        <f t="shared" si="10"/>
        <v>-0.30802204727854621</v>
      </c>
      <c r="J60" s="86">
        <f t="shared" si="10"/>
        <v>-0.32268976381561987</v>
      </c>
      <c r="K60" s="86">
        <f t="shared" si="10"/>
        <v>-0.32268976381561987</v>
      </c>
      <c r="L60" s="87">
        <f t="shared" si="10"/>
        <v>-0.29024815624706801</v>
      </c>
      <c r="M60" s="85">
        <f t="shared" si="10"/>
        <v>-0.34850356742445249</v>
      </c>
      <c r="N60" s="86">
        <f t="shared" si="10"/>
        <v>-0.38169438336963846</v>
      </c>
      <c r="O60" s="86">
        <f t="shared" si="10"/>
        <v>-0.3650989753970455</v>
      </c>
      <c r="P60" s="86">
        <f t="shared" si="10"/>
        <v>-0.35458005499161804</v>
      </c>
      <c r="Q60" s="86">
        <f t="shared" si="10"/>
        <v>-0.37146481951502847</v>
      </c>
      <c r="R60" s="86">
        <f t="shared" si="10"/>
        <v>-0.37146481951502847</v>
      </c>
      <c r="S60" s="88">
        <f t="shared" si="10"/>
        <v>-0.36546777003546854</v>
      </c>
      <c r="V60" t="s">
        <v>89</v>
      </c>
      <c r="W60">
        <v>-0.25859116584414171</v>
      </c>
      <c r="X60">
        <v>-0.24627730080394442</v>
      </c>
      <c r="Y60">
        <v>-0.28321889592453608</v>
      </c>
      <c r="Z60">
        <v>-0.30802204727854621</v>
      </c>
      <c r="AA60">
        <v>-0.32268976381561987</v>
      </c>
      <c r="AB60">
        <v>-0.32268976381561987</v>
      </c>
      <c r="AC60">
        <v>-0.29024815624706801</v>
      </c>
      <c r="AD60">
        <v>-0.34850356742445249</v>
      </c>
      <c r="AE60">
        <v>-0.38169438336963846</v>
      </c>
      <c r="AF60">
        <v>-0.3650989753970455</v>
      </c>
      <c r="AG60">
        <v>-0.35458005499161804</v>
      </c>
      <c r="AH60">
        <v>-0.37146481951502847</v>
      </c>
      <c r="AI60">
        <v>-0.37146481951502847</v>
      </c>
      <c r="AJ60">
        <v>-0.36546777003546854</v>
      </c>
    </row>
    <row r="61" spans="1:36">
      <c r="A61" s="99" t="s">
        <v>123</v>
      </c>
      <c r="B61" s="100"/>
      <c r="C61" s="101" t="s">
        <v>88</v>
      </c>
      <c r="D61" s="101" t="s">
        <v>88</v>
      </c>
      <c r="E61" s="84"/>
      <c r="F61" s="102">
        <f>+F60</f>
        <v>-0.25859116584414171</v>
      </c>
      <c r="G61" s="103">
        <f t="shared" ref="G61:S61" si="11">+G60</f>
        <v>-0.24627730080394442</v>
      </c>
      <c r="H61" s="103">
        <f t="shared" si="11"/>
        <v>-0.28321889592453608</v>
      </c>
      <c r="I61" s="103">
        <f t="shared" si="11"/>
        <v>-0.30802204727854621</v>
      </c>
      <c r="J61" s="103">
        <f t="shared" si="11"/>
        <v>-0.32268976381561987</v>
      </c>
      <c r="K61" s="103">
        <f t="shared" si="11"/>
        <v>-0.32268976381561987</v>
      </c>
      <c r="L61" s="104">
        <f t="shared" si="11"/>
        <v>-0.29024815624706801</v>
      </c>
      <c r="M61" s="102">
        <f t="shared" si="11"/>
        <v>-0.34850356742445249</v>
      </c>
      <c r="N61" s="103">
        <f t="shared" si="11"/>
        <v>-0.38169438336963846</v>
      </c>
      <c r="O61" s="103">
        <f t="shared" si="11"/>
        <v>-0.3650989753970455</v>
      </c>
      <c r="P61" s="103">
        <f t="shared" si="11"/>
        <v>-0.35458005499161804</v>
      </c>
      <c r="Q61" s="103">
        <f t="shared" si="11"/>
        <v>-0.37146481951502847</v>
      </c>
      <c r="R61" s="103">
        <f t="shared" si="11"/>
        <v>-0.37146481951502847</v>
      </c>
      <c r="S61" s="105">
        <f t="shared" si="11"/>
        <v>-0.36546777003546854</v>
      </c>
      <c r="U61" t="s">
        <v>123</v>
      </c>
      <c r="W61">
        <v>-0.25859116584414171</v>
      </c>
      <c r="X61">
        <v>-0.24627730080394442</v>
      </c>
      <c r="Y61">
        <v>-0.28321889592453608</v>
      </c>
      <c r="Z61">
        <v>-0.30802204727854621</v>
      </c>
      <c r="AA61">
        <v>-0.32268976381561987</v>
      </c>
      <c r="AB61">
        <v>-0.32268976381561987</v>
      </c>
      <c r="AC61">
        <v>-0.29024815624706801</v>
      </c>
      <c r="AD61">
        <v>-0.34850356742445249</v>
      </c>
      <c r="AE61">
        <v>-0.38169438336963846</v>
      </c>
      <c r="AF61">
        <v>-0.3650989753970455</v>
      </c>
      <c r="AG61">
        <v>-0.35458005499161804</v>
      </c>
      <c r="AH61">
        <v>-0.37146481951502847</v>
      </c>
      <c r="AI61">
        <v>-0.37146481951502847</v>
      </c>
      <c r="AJ61">
        <v>-0.36546777003546854</v>
      </c>
    </row>
    <row r="62" spans="1:36" hidden="1">
      <c r="A62" s="71" t="s">
        <v>130</v>
      </c>
      <c r="B62" s="17" t="s">
        <v>131</v>
      </c>
      <c r="C62" s="89"/>
      <c r="D62" s="89"/>
      <c r="E62" s="46"/>
      <c r="F62" s="91"/>
      <c r="G62" s="92"/>
      <c r="H62" s="92"/>
      <c r="I62" s="92"/>
      <c r="J62" s="92"/>
      <c r="K62" s="92"/>
      <c r="L62" s="93">
        <f>SUM(F62:K62)/6</f>
        <v>0</v>
      </c>
      <c r="M62" s="91"/>
      <c r="N62" s="92"/>
      <c r="O62" s="92"/>
      <c r="P62" s="92"/>
      <c r="Q62" s="92"/>
      <c r="R62" s="92"/>
      <c r="S62" s="94">
        <f>SUM(M62:R62)/6</f>
        <v>0</v>
      </c>
      <c r="U62" t="s">
        <v>130</v>
      </c>
      <c r="V62" t="s">
        <v>132</v>
      </c>
      <c r="AC62">
        <v>0</v>
      </c>
      <c r="AJ62">
        <v>0</v>
      </c>
    </row>
    <row r="63" spans="1:36" hidden="1">
      <c r="A63" s="71" t="s">
        <v>130</v>
      </c>
      <c r="B63" s="17" t="s">
        <v>131</v>
      </c>
      <c r="C63" s="89"/>
      <c r="D63" s="89"/>
      <c r="E63" s="46"/>
      <c r="F63" s="91"/>
      <c r="G63" s="92"/>
      <c r="H63" s="92"/>
      <c r="I63" s="92"/>
      <c r="J63" s="92"/>
      <c r="K63" s="92"/>
      <c r="L63" s="93">
        <f>SUM(F63:K63)/6</f>
        <v>0</v>
      </c>
      <c r="M63" s="91"/>
      <c r="N63" s="92"/>
      <c r="O63" s="92"/>
      <c r="P63" s="92"/>
      <c r="Q63" s="92"/>
      <c r="R63" s="92"/>
      <c r="S63" s="94">
        <f>SUM(M63:R63)/6</f>
        <v>0</v>
      </c>
      <c r="U63" t="s">
        <v>130</v>
      </c>
      <c r="V63" t="s">
        <v>132</v>
      </c>
      <c r="AC63">
        <v>0</v>
      </c>
      <c r="AJ63">
        <v>0</v>
      </c>
    </row>
    <row r="64" spans="1:36" hidden="1">
      <c r="A64" s="81"/>
      <c r="B64" s="82" t="s">
        <v>131</v>
      </c>
      <c r="C64" s="83" t="s">
        <v>88</v>
      </c>
      <c r="D64" s="83" t="s">
        <v>88</v>
      </c>
      <c r="E64" s="84"/>
      <c r="F64" s="85">
        <f>SUM(F62:F63)</f>
        <v>0</v>
      </c>
      <c r="G64" s="86">
        <f t="shared" ref="G64:S64" si="12">SUM(G62:G63)</f>
        <v>0</v>
      </c>
      <c r="H64" s="86">
        <f t="shared" si="12"/>
        <v>0</v>
      </c>
      <c r="I64" s="86">
        <f t="shared" si="12"/>
        <v>0</v>
      </c>
      <c r="J64" s="86">
        <f t="shared" si="12"/>
        <v>0</v>
      </c>
      <c r="K64" s="86">
        <f t="shared" si="12"/>
        <v>0</v>
      </c>
      <c r="L64" s="87">
        <f t="shared" si="12"/>
        <v>0</v>
      </c>
      <c r="M64" s="85">
        <f t="shared" si="12"/>
        <v>0</v>
      </c>
      <c r="N64" s="86">
        <f t="shared" si="12"/>
        <v>0</v>
      </c>
      <c r="O64" s="86">
        <f t="shared" si="12"/>
        <v>0</v>
      </c>
      <c r="P64" s="86">
        <f t="shared" si="12"/>
        <v>0</v>
      </c>
      <c r="Q64" s="86">
        <f t="shared" si="12"/>
        <v>0</v>
      </c>
      <c r="R64" s="86">
        <f t="shared" si="12"/>
        <v>0</v>
      </c>
      <c r="S64" s="88">
        <f t="shared" si="12"/>
        <v>0</v>
      </c>
      <c r="V64" t="s">
        <v>132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hidden="1">
      <c r="A65" s="71" t="s">
        <v>130</v>
      </c>
      <c r="B65" s="17" t="s">
        <v>133</v>
      </c>
      <c r="C65" s="89" t="s">
        <v>134</v>
      </c>
      <c r="D65" s="89" t="s">
        <v>134</v>
      </c>
      <c r="E65" s="90" t="str">
        <f>VLOOKUP(D65,'[46]Yield Cal Oracle (base) '!$D:$E,2,0)</f>
        <v>TEGPSP20J106M2008RKT</v>
      </c>
      <c r="F65" s="91">
        <v>0.26990061936003346</v>
      </c>
      <c r="G65" s="92">
        <v>0.25704820891431751</v>
      </c>
      <c r="H65" s="92">
        <v>0.29560544025146512</v>
      </c>
      <c r="I65" s="92">
        <v>0.30937412907976036</v>
      </c>
      <c r="J65" s="92">
        <v>0.32410623046451081</v>
      </c>
      <c r="K65" s="92">
        <v>0.32410623046451081</v>
      </c>
      <c r="L65" s="93">
        <f t="shared" ref="L65:L85" si="13">SUM(F65:K65)/6</f>
        <v>0.29669014308909963</v>
      </c>
      <c r="M65" s="91">
        <v>0.32694517680246321</v>
      </c>
      <c r="N65" s="92">
        <v>0.35808281268841208</v>
      </c>
      <c r="O65" s="92">
        <v>0.34251399474543764</v>
      </c>
      <c r="P65" s="92">
        <v>0.33270272903047743</v>
      </c>
      <c r="Q65" s="92">
        <v>0.34854571612716684</v>
      </c>
      <c r="R65" s="92">
        <v>0.34854571612716684</v>
      </c>
      <c r="S65" s="94">
        <f t="shared" ref="S65:S85" si="14">SUM(M65:R65)/6</f>
        <v>0.34288935758685396</v>
      </c>
      <c r="U65" t="s">
        <v>130</v>
      </c>
      <c r="V65" t="s">
        <v>133</v>
      </c>
      <c r="W65">
        <v>0.26990061936003346</v>
      </c>
      <c r="X65">
        <v>0.25704820891431751</v>
      </c>
      <c r="Y65">
        <v>0.29560544025146512</v>
      </c>
      <c r="Z65">
        <v>0.30937412907976036</v>
      </c>
      <c r="AA65">
        <v>0.32410623046451081</v>
      </c>
      <c r="AB65">
        <v>0.32410623046451081</v>
      </c>
      <c r="AC65">
        <v>0.29669014308909963</v>
      </c>
      <c r="AD65">
        <v>0.32694517680246321</v>
      </c>
      <c r="AE65">
        <v>0.35808281268841208</v>
      </c>
      <c r="AF65">
        <v>0.34251399474543764</v>
      </c>
      <c r="AG65">
        <v>0.33270272903047743</v>
      </c>
      <c r="AH65">
        <v>0.34854571612716684</v>
      </c>
      <c r="AI65">
        <v>0.34854571612716684</v>
      </c>
      <c r="AJ65">
        <v>0.34288935758685396</v>
      </c>
    </row>
    <row r="66" spans="1:36" hidden="1">
      <c r="A66" s="71" t="s">
        <v>130</v>
      </c>
      <c r="B66" s="17" t="s">
        <v>133</v>
      </c>
      <c r="C66" s="89" t="s">
        <v>135</v>
      </c>
      <c r="D66" s="89" t="s">
        <v>135</v>
      </c>
      <c r="E66" s="90" t="str">
        <f>VLOOKUP(D66,'[46]Yield Cal Oracle (base) '!$D:$E,2,0)</f>
        <v>TEGPSP20J106M8R</v>
      </c>
      <c r="F66" s="91">
        <v>3.6819034184601054</v>
      </c>
      <c r="G66" s="92">
        <v>3.5065746842477199</v>
      </c>
      <c r="H66" s="92">
        <v>4.0325608868848768</v>
      </c>
      <c r="I66" s="92">
        <v>3.6547633827506378</v>
      </c>
      <c r="J66" s="92">
        <v>3.8287997343101914</v>
      </c>
      <c r="K66" s="92">
        <v>3.8287997343101914</v>
      </c>
      <c r="L66" s="93">
        <f t="shared" si="13"/>
        <v>3.7555669734939539</v>
      </c>
      <c r="M66" s="91">
        <v>3.7562903297284951</v>
      </c>
      <c r="N66" s="92">
        <v>4.1140322658931137</v>
      </c>
      <c r="O66" s="92">
        <v>3.9351612978108048</v>
      </c>
      <c r="P66" s="92">
        <v>3.8451207851061322</v>
      </c>
      <c r="Q66" s="92">
        <v>4.0282217748730913</v>
      </c>
      <c r="R66" s="92">
        <v>4.0282217748730913</v>
      </c>
      <c r="S66" s="94">
        <f t="shared" si="14"/>
        <v>3.9511747047141217</v>
      </c>
      <c r="U66" t="s">
        <v>130</v>
      </c>
      <c r="V66" t="s">
        <v>133</v>
      </c>
      <c r="W66">
        <v>3.6819034184601054</v>
      </c>
      <c r="X66">
        <v>3.5065746842477199</v>
      </c>
      <c r="Y66">
        <v>4.0325608868848768</v>
      </c>
      <c r="Z66">
        <v>3.6547633827506378</v>
      </c>
      <c r="AA66">
        <v>3.8287997343101914</v>
      </c>
      <c r="AB66">
        <v>3.8287997343101914</v>
      </c>
      <c r="AC66">
        <v>3.7555669734939539</v>
      </c>
      <c r="AD66">
        <v>3.7562903297284951</v>
      </c>
      <c r="AE66">
        <v>4.1140322658931137</v>
      </c>
      <c r="AF66">
        <v>3.9351612978108048</v>
      </c>
      <c r="AG66">
        <v>3.8451207851061322</v>
      </c>
      <c r="AH66">
        <v>4.0282217748730913</v>
      </c>
      <c r="AI66">
        <v>4.0282217748730913</v>
      </c>
      <c r="AJ66">
        <v>3.9511747047141217</v>
      </c>
    </row>
    <row r="67" spans="1:36" hidden="1">
      <c r="A67" s="71" t="s">
        <v>130</v>
      </c>
      <c r="B67" s="17" t="s">
        <v>133</v>
      </c>
      <c r="C67" s="89" t="s">
        <v>136</v>
      </c>
      <c r="D67" s="89" t="s">
        <v>136</v>
      </c>
      <c r="E67" s="90" t="str">
        <f>VLOOKUP(D67,'[46]Yield Cal Oracle (base) '!$D:$E,2,0)</f>
        <v>TEGPSP20J106M8RF</v>
      </c>
      <c r="F67" s="91">
        <v>71.060735976280029</v>
      </c>
      <c r="G67" s="92">
        <v>67.676891405980982</v>
      </c>
      <c r="H67" s="92">
        <v>77.828425116878122</v>
      </c>
      <c r="I67" s="92">
        <v>70.536933287087308</v>
      </c>
      <c r="J67" s="92">
        <v>73.895834872186711</v>
      </c>
      <c r="K67" s="92">
        <v>73.895834872186711</v>
      </c>
      <c r="L67" s="93">
        <f t="shared" si="13"/>
        <v>72.482442588433301</v>
      </c>
      <c r="M67" s="91">
        <v>72.496403363759953</v>
      </c>
      <c r="N67" s="92">
        <v>79.400822731737094</v>
      </c>
      <c r="O67" s="92">
        <v>75.948613047748509</v>
      </c>
      <c r="P67" s="92">
        <v>74.21083115254838</v>
      </c>
      <c r="Q67" s="92">
        <v>77.744680255050667</v>
      </c>
      <c r="R67" s="92">
        <v>77.744680255050667</v>
      </c>
      <c r="S67" s="94">
        <f t="shared" si="14"/>
        <v>76.25767180098255</v>
      </c>
      <c r="U67" t="s">
        <v>130</v>
      </c>
      <c r="V67" t="s">
        <v>133</v>
      </c>
      <c r="W67">
        <v>71.060735976280029</v>
      </c>
      <c r="X67">
        <v>67.676891405980982</v>
      </c>
      <c r="Y67">
        <v>77.828425116878122</v>
      </c>
      <c r="Z67">
        <v>70.536933287087308</v>
      </c>
      <c r="AA67">
        <v>73.895834872186711</v>
      </c>
      <c r="AB67">
        <v>73.895834872186711</v>
      </c>
      <c r="AC67">
        <v>72.482442588433301</v>
      </c>
      <c r="AD67">
        <v>72.496403363759953</v>
      </c>
      <c r="AE67">
        <v>79.400822731737094</v>
      </c>
      <c r="AF67">
        <v>75.948613047748509</v>
      </c>
      <c r="AG67">
        <v>74.21083115254838</v>
      </c>
      <c r="AH67">
        <v>77.744680255050667</v>
      </c>
      <c r="AI67">
        <v>77.744680255050667</v>
      </c>
      <c r="AJ67">
        <v>76.25767180098255</v>
      </c>
    </row>
    <row r="68" spans="1:36" hidden="1">
      <c r="A68" s="71" t="s">
        <v>130</v>
      </c>
      <c r="B68" s="17" t="s">
        <v>133</v>
      </c>
      <c r="C68" s="89" t="s">
        <v>137</v>
      </c>
      <c r="D68" s="89" t="s">
        <v>137</v>
      </c>
      <c r="E68" s="90" t="str">
        <f>VLOOKUP(D68,'[46]Yield Cal Oracle (base) '!$D:$E,2,0)</f>
        <v>TEGPSP20J226M1508R</v>
      </c>
      <c r="F68" s="91">
        <v>22.091420510760631</v>
      </c>
      <c r="G68" s="92">
        <v>21.039448105486318</v>
      </c>
      <c r="H68" s="92">
        <v>24.195365321309261</v>
      </c>
      <c r="I68" s="92">
        <v>21.928580296503824</v>
      </c>
      <c r="J68" s="92">
        <v>22.972798405861152</v>
      </c>
      <c r="K68" s="92">
        <v>22.972798405861152</v>
      </c>
      <c r="L68" s="93">
        <f t="shared" si="13"/>
        <v>22.533401840963723</v>
      </c>
      <c r="M68" s="91">
        <v>22.53774197837097</v>
      </c>
      <c r="N68" s="92">
        <v>24.684193595358678</v>
      </c>
      <c r="O68" s="92">
        <v>23.610967786864826</v>
      </c>
      <c r="P68" s="92">
        <v>23.070724710636792</v>
      </c>
      <c r="Q68" s="92">
        <v>24.169330649238546</v>
      </c>
      <c r="R68" s="92">
        <v>24.169330649238546</v>
      </c>
      <c r="S68" s="94">
        <f t="shared" si="14"/>
        <v>23.70704822828473</v>
      </c>
      <c r="U68" t="s">
        <v>130</v>
      </c>
      <c r="V68" t="s">
        <v>133</v>
      </c>
      <c r="W68">
        <v>22.091420510760631</v>
      </c>
      <c r="X68">
        <v>21.039448105486318</v>
      </c>
      <c r="Y68">
        <v>24.195365321309261</v>
      </c>
      <c r="Z68">
        <v>21.928580296503824</v>
      </c>
      <c r="AA68">
        <v>22.972798405861152</v>
      </c>
      <c r="AB68">
        <v>22.972798405861152</v>
      </c>
      <c r="AC68">
        <v>22.533401840963723</v>
      </c>
      <c r="AD68">
        <v>22.53774197837097</v>
      </c>
      <c r="AE68">
        <v>24.684193595358678</v>
      </c>
      <c r="AF68">
        <v>23.610967786864826</v>
      </c>
      <c r="AG68">
        <v>23.070724710636792</v>
      </c>
      <c r="AH68">
        <v>24.169330649238546</v>
      </c>
      <c r="AI68">
        <v>24.169330649238546</v>
      </c>
      <c r="AJ68">
        <v>23.70704822828473</v>
      </c>
    </row>
    <row r="69" spans="1:36" hidden="1">
      <c r="A69" s="71" t="s">
        <v>130</v>
      </c>
      <c r="B69" s="17" t="s">
        <v>133</v>
      </c>
      <c r="C69" s="72" t="s">
        <v>138</v>
      </c>
      <c r="D69" s="72" t="s">
        <v>138</v>
      </c>
      <c r="E69" s="66" t="e">
        <f>VLOOKUP(D69,'[46]Yield Cal Oracle (base) '!$D:$E,2,0)</f>
        <v>#N/A</v>
      </c>
      <c r="F69" s="91">
        <v>-7.3376758957533639E-3</v>
      </c>
      <c r="G69" s="92">
        <v>-6.9882627578601838E-3</v>
      </c>
      <c r="H69" s="92">
        <v>-8.0365021715394953E-3</v>
      </c>
      <c r="I69" s="92">
        <v>-0.14188565495245825</v>
      </c>
      <c r="J69" s="92">
        <v>-0.14864211471209909</v>
      </c>
      <c r="K69" s="92">
        <v>-0.14864211471209909</v>
      </c>
      <c r="L69" s="93">
        <f t="shared" si="13"/>
        <v>-7.6922054200301584E-2</v>
      </c>
      <c r="M69" s="91">
        <v>-0.15550232056895788</v>
      </c>
      <c r="N69" s="92">
        <v>-0.1703120653850492</v>
      </c>
      <c r="O69" s="92">
        <v>-0.16290719297700343</v>
      </c>
      <c r="P69" s="92">
        <v>-0.1610602472339458</v>
      </c>
      <c r="Q69" s="92">
        <v>-0.16872978281651443</v>
      </c>
      <c r="R69" s="92">
        <v>-0.16872978281651443</v>
      </c>
      <c r="S69" s="94">
        <f t="shared" si="14"/>
        <v>-0.16454023196633086</v>
      </c>
      <c r="U69" t="s">
        <v>130</v>
      </c>
      <c r="V69" t="s">
        <v>133</v>
      </c>
      <c r="W69">
        <v>-7.3376758957533639E-3</v>
      </c>
      <c r="X69">
        <v>-6.9882627578601838E-3</v>
      </c>
      <c r="Y69">
        <v>-8.0365021715394953E-3</v>
      </c>
      <c r="Z69">
        <v>-0.14188565495245825</v>
      </c>
      <c r="AA69">
        <v>-0.14864211471209909</v>
      </c>
      <c r="AB69">
        <v>-0.14864211471209909</v>
      </c>
      <c r="AC69">
        <v>-7.6922054200301584E-2</v>
      </c>
      <c r="AD69">
        <v>-0.15550232056895788</v>
      </c>
      <c r="AE69">
        <v>-0.1703120653850492</v>
      </c>
      <c r="AF69">
        <v>-0.16290719297700343</v>
      </c>
      <c r="AG69">
        <v>-0.1610602472339458</v>
      </c>
      <c r="AH69">
        <v>-0.16872978281651443</v>
      </c>
      <c r="AI69">
        <v>-0.16872978281651443</v>
      </c>
      <c r="AJ69">
        <v>-0.16454023196633086</v>
      </c>
    </row>
    <row r="70" spans="1:36" hidden="1">
      <c r="A70" s="71" t="s">
        <v>130</v>
      </c>
      <c r="B70" s="17" t="s">
        <v>133</v>
      </c>
      <c r="C70" s="89" t="s">
        <v>139</v>
      </c>
      <c r="D70" s="89" t="s">
        <v>139</v>
      </c>
      <c r="E70" s="90" t="str">
        <f>VLOOKUP(D70,'[46]Yield Cal Oracle (base) '!$D:$E,2,0)</f>
        <v>TEGPSP20J226M8RKT</v>
      </c>
      <c r="F70" s="91">
        <v>-67.483890445000029</v>
      </c>
      <c r="G70" s="92">
        <v>-64.270371852380975</v>
      </c>
      <c r="H70" s="92">
        <v>-73.910927630238106</v>
      </c>
      <c r="I70" s="92">
        <v>-72.25168569567083</v>
      </c>
      <c r="J70" s="92">
        <v>-75.692242157369449</v>
      </c>
      <c r="K70" s="92">
        <v>-75.692242157369449</v>
      </c>
      <c r="L70" s="93">
        <f t="shared" si="13"/>
        <v>-71.550226656338126</v>
      </c>
      <c r="M70" s="91">
        <v>-85.193624526133306</v>
      </c>
      <c r="N70" s="92">
        <v>-93.307303052431735</v>
      </c>
      <c r="O70" s="92">
        <v>-89.25046378928252</v>
      </c>
      <c r="P70" s="92">
        <v>-80.124011314479787</v>
      </c>
      <c r="Q70" s="92">
        <v>-83.939440424693117</v>
      </c>
      <c r="R70" s="92">
        <v>-83.939440424693117</v>
      </c>
      <c r="S70" s="94">
        <f t="shared" si="14"/>
        <v>-85.959047255285597</v>
      </c>
      <c r="U70" t="s">
        <v>130</v>
      </c>
      <c r="V70" t="s">
        <v>133</v>
      </c>
      <c r="W70">
        <v>-67.483890445000029</v>
      </c>
      <c r="X70">
        <v>-64.270371852380975</v>
      </c>
      <c r="Y70">
        <v>-73.910927630238106</v>
      </c>
      <c r="Z70">
        <v>-72.25168569567083</v>
      </c>
      <c r="AA70">
        <v>-75.692242157369449</v>
      </c>
      <c r="AB70">
        <v>-75.692242157369449</v>
      </c>
      <c r="AC70">
        <v>-71.550226656338126</v>
      </c>
      <c r="AD70">
        <v>-85.193624526133306</v>
      </c>
      <c r="AE70">
        <v>-93.307303052431735</v>
      </c>
      <c r="AF70">
        <v>-89.25046378928252</v>
      </c>
      <c r="AG70">
        <v>-80.124011314479787</v>
      </c>
      <c r="AH70">
        <v>-83.939440424693117</v>
      </c>
      <c r="AI70">
        <v>-83.939440424693117</v>
      </c>
      <c r="AJ70">
        <v>-85.959047255285597</v>
      </c>
    </row>
    <row r="71" spans="1:36" hidden="1">
      <c r="A71" s="71" t="s">
        <v>130</v>
      </c>
      <c r="B71" s="17" t="s">
        <v>133</v>
      </c>
      <c r="C71" s="89" t="s">
        <v>140</v>
      </c>
      <c r="D71" s="89" t="s">
        <v>140</v>
      </c>
      <c r="E71" s="90" t="str">
        <f>VLOOKUP(D71,'[46]Yield Cal Oracle (base) '!$D:$E,2,0)</f>
        <v>TEGPSP20J476M1508RKT</v>
      </c>
      <c r="F71" s="91">
        <v>894.99854658577567</v>
      </c>
      <c r="G71" s="92">
        <v>852.37956817692918</v>
      </c>
      <c r="H71" s="92">
        <v>980.23650340346842</v>
      </c>
      <c r="I71" s="92">
        <v>962.61407061407351</v>
      </c>
      <c r="J71" s="92">
        <v>1008.4528358814104</v>
      </c>
      <c r="K71" s="92">
        <v>1008.4528358814104</v>
      </c>
      <c r="L71" s="93">
        <f t="shared" si="13"/>
        <v>951.18906009051125</v>
      </c>
      <c r="M71" s="91">
        <v>1092.2131672042005</v>
      </c>
      <c r="N71" s="92">
        <v>1196.2334688426956</v>
      </c>
      <c r="O71" s="92">
        <v>1144.2233180234482</v>
      </c>
      <c r="P71" s="92">
        <v>1107.7100647351849</v>
      </c>
      <c r="Q71" s="92">
        <v>1160.4581630559082</v>
      </c>
      <c r="R71" s="92">
        <v>1160.4581630559082</v>
      </c>
      <c r="S71" s="94">
        <f t="shared" si="14"/>
        <v>1143.5493908195574</v>
      </c>
      <c r="U71" t="s">
        <v>130</v>
      </c>
      <c r="V71" t="s">
        <v>133</v>
      </c>
      <c r="W71">
        <v>894.99854658577567</v>
      </c>
      <c r="X71">
        <v>852.37956817692918</v>
      </c>
      <c r="Y71">
        <v>980.23650340346842</v>
      </c>
      <c r="Z71">
        <v>962.61407061407351</v>
      </c>
      <c r="AA71">
        <v>1008.4528358814104</v>
      </c>
      <c r="AB71">
        <v>1008.4528358814104</v>
      </c>
      <c r="AC71">
        <v>951.18906009051125</v>
      </c>
      <c r="AD71">
        <v>1092.2131672042005</v>
      </c>
      <c r="AE71">
        <v>1196.2334688426956</v>
      </c>
      <c r="AF71">
        <v>1144.2233180234482</v>
      </c>
      <c r="AG71">
        <v>1107.7100647351849</v>
      </c>
      <c r="AH71">
        <v>1160.4581630559082</v>
      </c>
      <c r="AI71">
        <v>1160.4581630559082</v>
      </c>
      <c r="AJ71">
        <v>1143.5493908195574</v>
      </c>
    </row>
    <row r="72" spans="1:36" hidden="1">
      <c r="A72" s="71" t="s">
        <v>130</v>
      </c>
      <c r="B72" s="17" t="s">
        <v>133</v>
      </c>
      <c r="C72" s="72" t="s">
        <v>141</v>
      </c>
      <c r="D72" s="72" t="s">
        <v>141</v>
      </c>
      <c r="E72" s="66" t="e">
        <f>VLOOKUP(D72,'[46]Yield Cal Oracle (base) '!$D:$E,2,0)</f>
        <v>#N/A</v>
      </c>
      <c r="F72" s="91">
        <v>2.7968107062843011</v>
      </c>
      <c r="G72" s="92">
        <v>2.6636292440802865</v>
      </c>
      <c r="H72" s="92">
        <v>3.0631736306923294</v>
      </c>
      <c r="I72" s="92">
        <v>3.0970378810847716</v>
      </c>
      <c r="J72" s="92">
        <v>3.2445158754221417</v>
      </c>
      <c r="K72" s="92">
        <v>3.2445158754221417</v>
      </c>
      <c r="L72" s="93">
        <f t="shared" si="13"/>
        <v>3.0182805354976616</v>
      </c>
      <c r="M72" s="91">
        <v>3.4313771977927874</v>
      </c>
      <c r="N72" s="92">
        <v>3.7581750261540048</v>
      </c>
      <c r="O72" s="92">
        <v>3.5947761119733959</v>
      </c>
      <c r="P72" s="92">
        <v>3.4841676162203679</v>
      </c>
      <c r="Q72" s="92">
        <v>3.6500803598499094</v>
      </c>
      <c r="R72" s="92">
        <v>3.6500803598499094</v>
      </c>
      <c r="S72" s="94">
        <f t="shared" si="14"/>
        <v>3.5947761119733959</v>
      </c>
      <c r="U72" t="s">
        <v>130</v>
      </c>
      <c r="V72" t="s">
        <v>133</v>
      </c>
      <c r="W72">
        <v>2.7968107062843011</v>
      </c>
      <c r="X72">
        <v>2.6636292440802865</v>
      </c>
      <c r="Y72">
        <v>3.0631736306923294</v>
      </c>
      <c r="Z72">
        <v>3.0970378810847716</v>
      </c>
      <c r="AA72">
        <v>3.2445158754221417</v>
      </c>
      <c r="AB72">
        <v>3.2445158754221417</v>
      </c>
      <c r="AC72">
        <v>3.0182805354976616</v>
      </c>
      <c r="AD72">
        <v>3.4313771977927874</v>
      </c>
      <c r="AE72">
        <v>3.7581750261540048</v>
      </c>
      <c r="AF72">
        <v>3.5947761119733959</v>
      </c>
      <c r="AG72">
        <v>3.4841676162203679</v>
      </c>
      <c r="AH72">
        <v>3.6500803598499094</v>
      </c>
      <c r="AI72">
        <v>3.6500803598499094</v>
      </c>
      <c r="AJ72">
        <v>3.5947761119733959</v>
      </c>
    </row>
    <row r="73" spans="1:36" hidden="1">
      <c r="A73" s="71" t="s">
        <v>130</v>
      </c>
      <c r="B73" s="17" t="s">
        <v>133</v>
      </c>
      <c r="C73" s="89" t="s">
        <v>142</v>
      </c>
      <c r="D73" s="89" t="s">
        <v>142</v>
      </c>
      <c r="E73" s="90" t="str">
        <f>VLOOKUP(D73,'[46]Yield Cal Oracle (base) '!$D:$E,2,0)</f>
        <v>TEGPSP20J476M150AHF8R</v>
      </c>
      <c r="F73" s="91">
        <v>65.491860285195045</v>
      </c>
      <c r="G73" s="92">
        <v>62.373200271614316</v>
      </c>
      <c r="H73" s="92">
        <v>71.729180312356476</v>
      </c>
      <c r="I73" s="92">
        <v>61.771865398350904</v>
      </c>
      <c r="J73" s="92">
        <v>64.713382798272377</v>
      </c>
      <c r="K73" s="92">
        <v>64.713382798272377</v>
      </c>
      <c r="L73" s="93">
        <f t="shared" si="13"/>
        <v>65.132145310676918</v>
      </c>
      <c r="M73" s="91">
        <v>64.465854648530652</v>
      </c>
      <c r="N73" s="92">
        <v>70.605459853152624</v>
      </c>
      <c r="O73" s="92">
        <v>67.535657250841624</v>
      </c>
      <c r="P73" s="92">
        <v>69.119271785433526</v>
      </c>
      <c r="Q73" s="92">
        <v>72.410665679977967</v>
      </c>
      <c r="R73" s="92">
        <v>72.410665679977967</v>
      </c>
      <c r="S73" s="94">
        <f t="shared" si="14"/>
        <v>69.424595816319055</v>
      </c>
      <c r="U73" t="s">
        <v>130</v>
      </c>
      <c r="V73" t="s">
        <v>133</v>
      </c>
      <c r="W73">
        <v>65.491860285195045</v>
      </c>
      <c r="X73">
        <v>62.373200271614316</v>
      </c>
      <c r="Y73">
        <v>71.729180312356476</v>
      </c>
      <c r="Z73">
        <v>61.771865398350904</v>
      </c>
      <c r="AA73">
        <v>64.713382798272377</v>
      </c>
      <c r="AB73">
        <v>64.713382798272377</v>
      </c>
      <c r="AC73">
        <v>65.132145310676918</v>
      </c>
      <c r="AD73">
        <v>64.465854648530652</v>
      </c>
      <c r="AE73">
        <v>70.605459853152624</v>
      </c>
      <c r="AF73">
        <v>67.535657250841624</v>
      </c>
      <c r="AG73">
        <v>69.119271785433526</v>
      </c>
      <c r="AH73">
        <v>72.410665679977967</v>
      </c>
      <c r="AI73">
        <v>72.410665679977967</v>
      </c>
      <c r="AJ73">
        <v>69.424595816319055</v>
      </c>
    </row>
    <row r="74" spans="1:36" hidden="1">
      <c r="A74" s="71" t="s">
        <v>130</v>
      </c>
      <c r="B74" s="17" t="s">
        <v>133</v>
      </c>
      <c r="C74" s="89" t="s">
        <v>143</v>
      </c>
      <c r="D74" s="89" t="s">
        <v>143</v>
      </c>
      <c r="E74" s="90" t="str">
        <f>VLOOKUP(D74,'[46]Yield Cal Oracle (base) '!$D:$E,2,0)</f>
        <v>TEGPSP20J476M2008RKT</v>
      </c>
      <c r="F74" s="91">
        <v>12.150606403160513</v>
      </c>
      <c r="G74" s="92">
        <v>11.572006098248108</v>
      </c>
      <c r="H74" s="92">
        <v>13.307807012985325</v>
      </c>
      <c r="I74" s="92">
        <v>13.88156451462096</v>
      </c>
      <c r="J74" s="92">
        <v>14.542591396269579</v>
      </c>
      <c r="K74" s="92">
        <v>14.542591396269579</v>
      </c>
      <c r="L74" s="93">
        <f t="shared" si="13"/>
        <v>13.332861136925677</v>
      </c>
      <c r="M74" s="91">
        <v>15.306604267367414</v>
      </c>
      <c r="N74" s="92">
        <v>16.764376102354788</v>
      </c>
      <c r="O74" s="92">
        <v>16.0354901848611</v>
      </c>
      <c r="P74" s="92">
        <v>15.314891702013494</v>
      </c>
      <c r="Q74" s="92">
        <v>16.044172259252232</v>
      </c>
      <c r="R74" s="92">
        <v>16.044172259252232</v>
      </c>
      <c r="S74" s="94">
        <f t="shared" si="14"/>
        <v>15.918284462516878</v>
      </c>
      <c r="U74" t="s">
        <v>130</v>
      </c>
      <c r="V74" t="s">
        <v>133</v>
      </c>
      <c r="W74">
        <v>12.150606403160513</v>
      </c>
      <c r="X74">
        <v>11.572006098248108</v>
      </c>
      <c r="Y74">
        <v>13.307807012985325</v>
      </c>
      <c r="Z74">
        <v>13.88156451462096</v>
      </c>
      <c r="AA74">
        <v>14.542591396269579</v>
      </c>
      <c r="AB74">
        <v>14.542591396269579</v>
      </c>
      <c r="AC74">
        <v>13.332861136925677</v>
      </c>
      <c r="AD74">
        <v>15.306604267367414</v>
      </c>
      <c r="AE74">
        <v>16.764376102354788</v>
      </c>
      <c r="AF74">
        <v>16.0354901848611</v>
      </c>
      <c r="AG74">
        <v>15.314891702013494</v>
      </c>
      <c r="AH74">
        <v>16.044172259252232</v>
      </c>
      <c r="AI74">
        <v>16.044172259252232</v>
      </c>
      <c r="AJ74">
        <v>15.918284462516878</v>
      </c>
    </row>
    <row r="75" spans="1:36" hidden="1">
      <c r="A75" s="71" t="s">
        <v>130</v>
      </c>
      <c r="B75" s="17" t="s">
        <v>133</v>
      </c>
      <c r="C75" s="89" t="s">
        <v>144</v>
      </c>
      <c r="D75" s="89" t="s">
        <v>144</v>
      </c>
      <c r="E75" s="90" t="str">
        <f>VLOOKUP(D75,'[46]Yield Cal Oracle (base) '!$D:$E,2,0)</f>
        <v>TEGPSP20J476M8R</v>
      </c>
      <c r="F75" s="91">
        <v>1.4727613673840421</v>
      </c>
      <c r="G75" s="92">
        <v>1.4026298736990876</v>
      </c>
      <c r="H75" s="92">
        <v>1.6130243547539507</v>
      </c>
      <c r="I75" s="92">
        <v>1.4619053531002553</v>
      </c>
      <c r="J75" s="92">
        <v>1.5315198937240768</v>
      </c>
      <c r="K75" s="92">
        <v>1.5315198937240768</v>
      </c>
      <c r="L75" s="93">
        <f t="shared" si="13"/>
        <v>1.5022267893975816</v>
      </c>
      <c r="M75" s="91">
        <v>1.5025161318913982</v>
      </c>
      <c r="N75" s="92">
        <v>1.6456129063572456</v>
      </c>
      <c r="O75" s="92">
        <v>1.5740645191243219</v>
      </c>
      <c r="P75" s="92">
        <v>1.5380483140424532</v>
      </c>
      <c r="Q75" s="92">
        <v>1.6112887099492366</v>
      </c>
      <c r="R75" s="92">
        <v>1.6112887099492366</v>
      </c>
      <c r="S75" s="94">
        <f t="shared" si="14"/>
        <v>1.5804698818856486</v>
      </c>
      <c r="U75" t="s">
        <v>130</v>
      </c>
      <c r="V75" t="s">
        <v>133</v>
      </c>
      <c r="W75">
        <v>1.4727613673840421</v>
      </c>
      <c r="X75">
        <v>1.4026298736990876</v>
      </c>
      <c r="Y75">
        <v>1.6130243547539507</v>
      </c>
      <c r="Z75">
        <v>1.4619053531002553</v>
      </c>
      <c r="AA75">
        <v>1.5315198937240768</v>
      </c>
      <c r="AB75">
        <v>1.5315198937240768</v>
      </c>
      <c r="AC75">
        <v>1.5022267893975816</v>
      </c>
      <c r="AD75">
        <v>1.5025161318913982</v>
      </c>
      <c r="AE75">
        <v>1.6456129063572456</v>
      </c>
      <c r="AF75">
        <v>1.5740645191243219</v>
      </c>
      <c r="AG75">
        <v>1.5380483140424532</v>
      </c>
      <c r="AH75">
        <v>1.6112887099492366</v>
      </c>
      <c r="AI75">
        <v>1.6112887099492366</v>
      </c>
      <c r="AJ75">
        <v>1.5804698818856486</v>
      </c>
    </row>
    <row r="76" spans="1:36" hidden="1">
      <c r="A76" s="71" t="s">
        <v>130</v>
      </c>
      <c r="B76" s="17" t="s">
        <v>133</v>
      </c>
      <c r="C76" s="89" t="s">
        <v>145</v>
      </c>
      <c r="D76" s="89" t="s">
        <v>145</v>
      </c>
      <c r="E76" s="90" t="str">
        <f>VLOOKUP(D76,'[46]Yield Cal Oracle (base) '!$D:$E,2,0)</f>
        <v>TEGPSP21A106M2008RKT</v>
      </c>
      <c r="F76" s="91">
        <v>77.842042196599564</v>
      </c>
      <c r="G76" s="92">
        <v>74.135278282475781</v>
      </c>
      <c r="H76" s="92">
        <v>85.255570024847131</v>
      </c>
      <c r="I76" s="92">
        <v>83.919093533764539</v>
      </c>
      <c r="J76" s="92">
        <v>87.915240844896175</v>
      </c>
      <c r="K76" s="92">
        <v>87.915240844896175</v>
      </c>
      <c r="L76" s="93">
        <f t="shared" si="13"/>
        <v>82.830410954579904</v>
      </c>
      <c r="M76" s="91">
        <v>95.503527891473169</v>
      </c>
      <c r="N76" s="92">
        <v>104.59910197637538</v>
      </c>
      <c r="O76" s="92">
        <v>100.05131493392427</v>
      </c>
      <c r="P76" s="92">
        <v>96.432402646365333</v>
      </c>
      <c r="Q76" s="92">
        <v>101.02442182000178</v>
      </c>
      <c r="R76" s="92">
        <v>101.02442182000178</v>
      </c>
      <c r="S76" s="94">
        <f t="shared" si="14"/>
        <v>99.772531848023618</v>
      </c>
      <c r="U76" t="s">
        <v>130</v>
      </c>
      <c r="V76" t="s">
        <v>133</v>
      </c>
      <c r="W76">
        <v>77.842042196599564</v>
      </c>
      <c r="X76">
        <v>74.135278282475781</v>
      </c>
      <c r="Y76">
        <v>85.255570024847131</v>
      </c>
      <c r="Z76">
        <v>83.919093533764539</v>
      </c>
      <c r="AA76">
        <v>87.915240844896175</v>
      </c>
      <c r="AB76">
        <v>87.915240844896175</v>
      </c>
      <c r="AC76">
        <v>82.830410954579904</v>
      </c>
      <c r="AD76">
        <v>95.503527891473169</v>
      </c>
      <c r="AE76">
        <v>104.59910197637538</v>
      </c>
      <c r="AF76">
        <v>100.05131493392427</v>
      </c>
      <c r="AG76">
        <v>96.432402646365333</v>
      </c>
      <c r="AH76">
        <v>101.02442182000178</v>
      </c>
      <c r="AI76">
        <v>101.02442182000178</v>
      </c>
      <c r="AJ76">
        <v>99.772531848023618</v>
      </c>
    </row>
    <row r="77" spans="1:36" hidden="1">
      <c r="A77" s="71" t="s">
        <v>130</v>
      </c>
      <c r="B77" s="17" t="s">
        <v>133</v>
      </c>
      <c r="C77" s="89" t="s">
        <v>146</v>
      </c>
      <c r="D77" s="89" t="s">
        <v>146</v>
      </c>
      <c r="E77" s="90" t="str">
        <f>VLOOKUP(D77,'[46]Yield Cal Oracle (base) '!$D:$E,2,0)</f>
        <v>TEGPSP21A106M8R</v>
      </c>
      <c r="F77" s="91">
        <v>1.4727613673840421</v>
      </c>
      <c r="G77" s="92">
        <v>1.4026298736990879</v>
      </c>
      <c r="H77" s="92">
        <v>1.6130243547539509</v>
      </c>
      <c r="I77" s="92">
        <v>1.4619053531002553</v>
      </c>
      <c r="J77" s="92">
        <v>1.5315198937240768</v>
      </c>
      <c r="K77" s="92">
        <v>1.5315198937240768</v>
      </c>
      <c r="L77" s="93">
        <f t="shared" si="13"/>
        <v>1.5022267893975816</v>
      </c>
      <c r="M77" s="91">
        <v>1.502516131891398</v>
      </c>
      <c r="N77" s="92">
        <v>1.6456129063572453</v>
      </c>
      <c r="O77" s="92">
        <v>1.5740645191243217</v>
      </c>
      <c r="P77" s="92">
        <v>1.538048314042453</v>
      </c>
      <c r="Q77" s="92">
        <v>1.6112887099492366</v>
      </c>
      <c r="R77" s="92">
        <v>1.6112887099492366</v>
      </c>
      <c r="S77" s="94">
        <f t="shared" si="14"/>
        <v>1.5804698818856486</v>
      </c>
      <c r="U77" t="s">
        <v>130</v>
      </c>
      <c r="V77" t="s">
        <v>133</v>
      </c>
      <c r="W77">
        <v>1.4727613673840421</v>
      </c>
      <c r="X77">
        <v>1.4026298736990879</v>
      </c>
      <c r="Y77">
        <v>1.6130243547539509</v>
      </c>
      <c r="Z77">
        <v>1.4619053531002553</v>
      </c>
      <c r="AA77">
        <v>1.5315198937240768</v>
      </c>
      <c r="AB77">
        <v>1.5315198937240768</v>
      </c>
      <c r="AC77">
        <v>1.5022267893975816</v>
      </c>
      <c r="AD77">
        <v>1.502516131891398</v>
      </c>
      <c r="AE77">
        <v>1.6456129063572453</v>
      </c>
      <c r="AF77">
        <v>1.5740645191243217</v>
      </c>
      <c r="AG77">
        <v>1.538048314042453</v>
      </c>
      <c r="AH77">
        <v>1.6112887099492366</v>
      </c>
      <c r="AI77">
        <v>1.6112887099492366</v>
      </c>
      <c r="AJ77">
        <v>1.5804698818856486</v>
      </c>
    </row>
    <row r="78" spans="1:36" hidden="1">
      <c r="A78" s="71" t="s">
        <v>130</v>
      </c>
      <c r="B78" s="17" t="s">
        <v>133</v>
      </c>
      <c r="C78" s="72" t="s">
        <v>147</v>
      </c>
      <c r="D78" s="72" t="s">
        <v>147</v>
      </c>
      <c r="E78" s="66" t="e">
        <f>VLOOKUP(D78,'[46]Yield Cal Oracle (base) '!$D:$E,2,0)</f>
        <v>#N/A</v>
      </c>
      <c r="F78" s="91">
        <v>5.569947697896385E-4</v>
      </c>
      <c r="G78" s="92">
        <v>5.3047120932346516E-4</v>
      </c>
      <c r="H78" s="92">
        <v>6.1004189072198485E-4</v>
      </c>
      <c r="I78" s="92">
        <v>5.484256194851824E-4</v>
      </c>
      <c r="J78" s="92">
        <v>5.74541125174953E-4</v>
      </c>
      <c r="K78" s="92">
        <v>5.74541125174953E-4</v>
      </c>
      <c r="L78" s="93">
        <f t="shared" si="13"/>
        <v>5.658359566116961E-4</v>
      </c>
      <c r="M78" s="91">
        <v>5.4011614040207364E-4</v>
      </c>
      <c r="N78" s="92">
        <v>5.9155577282131867E-4</v>
      </c>
      <c r="O78" s="92">
        <v>5.6583595661169621E-4</v>
      </c>
      <c r="P78" s="92">
        <v>5.484256194851824E-4</v>
      </c>
      <c r="Q78" s="92">
        <v>5.74541125174953E-4</v>
      </c>
      <c r="R78" s="92">
        <v>5.74541125174953E-4</v>
      </c>
      <c r="S78" s="94">
        <f t="shared" si="14"/>
        <v>5.658359566116961E-4</v>
      </c>
      <c r="U78" t="s">
        <v>130</v>
      </c>
      <c r="V78" t="s">
        <v>133</v>
      </c>
      <c r="W78">
        <v>5.569947697896385E-4</v>
      </c>
      <c r="X78">
        <v>5.3047120932346516E-4</v>
      </c>
      <c r="Y78">
        <v>6.1004189072198485E-4</v>
      </c>
      <c r="Z78">
        <v>5.484256194851824E-4</v>
      </c>
      <c r="AA78">
        <v>5.74541125174953E-4</v>
      </c>
      <c r="AB78">
        <v>5.74541125174953E-4</v>
      </c>
      <c r="AC78">
        <v>5.658359566116961E-4</v>
      </c>
      <c r="AD78">
        <v>5.4011614040207364E-4</v>
      </c>
      <c r="AE78">
        <v>5.9155577282131867E-4</v>
      </c>
      <c r="AF78">
        <v>5.6583595661169621E-4</v>
      </c>
      <c r="AG78">
        <v>5.484256194851824E-4</v>
      </c>
      <c r="AH78">
        <v>5.74541125174953E-4</v>
      </c>
      <c r="AI78">
        <v>5.74541125174953E-4</v>
      </c>
      <c r="AJ78">
        <v>5.658359566116961E-4</v>
      </c>
    </row>
    <row r="79" spans="1:36" hidden="1">
      <c r="A79" s="71" t="s">
        <v>130</v>
      </c>
      <c r="B79" s="17" t="s">
        <v>133</v>
      </c>
      <c r="C79" s="89" t="s">
        <v>148</v>
      </c>
      <c r="D79" s="89" t="s">
        <v>148</v>
      </c>
      <c r="E79" s="90" t="str">
        <f>VLOOKUP(D79,'[46]Yield Cal Oracle (base) '!$D:$E,2,0)</f>
        <v>TEGPSP21A226M1508RKT</v>
      </c>
      <c r="F79" s="91">
        <v>18.469045136511966</v>
      </c>
      <c r="G79" s="92">
        <v>17.589566796678067</v>
      </c>
      <c r="H79" s="92">
        <v>20.22800181617977</v>
      </c>
      <c r="I79" s="92">
        <v>19.846680614086932</v>
      </c>
      <c r="J79" s="92">
        <v>20.791760643329166</v>
      </c>
      <c r="K79" s="92">
        <v>20.791760643329166</v>
      </c>
      <c r="L79" s="93">
        <f t="shared" si="13"/>
        <v>19.619469275019181</v>
      </c>
      <c r="M79" s="91">
        <v>22.606988769781843</v>
      </c>
      <c r="N79" s="92">
        <v>24.760035319284874</v>
      </c>
      <c r="O79" s="92">
        <v>23.683512044533355</v>
      </c>
      <c r="P79" s="92">
        <v>22.954188509351901</v>
      </c>
      <c r="Q79" s="92">
        <v>24.04724510503533</v>
      </c>
      <c r="R79" s="92">
        <v>24.04724510503533</v>
      </c>
      <c r="S79" s="94">
        <f t="shared" si="14"/>
        <v>23.683202475503773</v>
      </c>
      <c r="U79" t="s">
        <v>130</v>
      </c>
      <c r="V79" t="s">
        <v>133</v>
      </c>
      <c r="W79">
        <v>18.469045136511966</v>
      </c>
      <c r="X79">
        <v>17.589566796678067</v>
      </c>
      <c r="Y79">
        <v>20.22800181617977</v>
      </c>
      <c r="Z79">
        <v>19.846680614086932</v>
      </c>
      <c r="AA79">
        <v>20.791760643329166</v>
      </c>
      <c r="AB79">
        <v>20.791760643329166</v>
      </c>
      <c r="AC79">
        <v>19.619469275019181</v>
      </c>
      <c r="AD79">
        <v>22.606988769781843</v>
      </c>
      <c r="AE79">
        <v>24.760035319284874</v>
      </c>
      <c r="AF79">
        <v>23.683512044533355</v>
      </c>
      <c r="AG79">
        <v>22.954188509351901</v>
      </c>
      <c r="AH79">
        <v>24.04724510503533</v>
      </c>
      <c r="AI79">
        <v>24.04724510503533</v>
      </c>
      <c r="AJ79">
        <v>23.683202475503773</v>
      </c>
    </row>
    <row r="80" spans="1:36" hidden="1">
      <c r="A80" s="71" t="s">
        <v>130</v>
      </c>
      <c r="B80" s="17" t="s">
        <v>133</v>
      </c>
      <c r="C80" s="89" t="s">
        <v>149</v>
      </c>
      <c r="D80" s="89" t="s">
        <v>149</v>
      </c>
      <c r="E80" s="90" t="str">
        <f>VLOOKUP(D80,'[46]Yield Cal Oracle (base) '!$D:$E,2,0)</f>
        <v>TEGPSP21A226M8R</v>
      </c>
      <c r="F80" s="91">
        <v>5.1716322419915803</v>
      </c>
      <c r="G80" s="92">
        <v>4.9253640399919805</v>
      </c>
      <c r="H80" s="92">
        <v>5.6641686459907774</v>
      </c>
      <c r="I80" s="92">
        <v>5.1127219116246536</v>
      </c>
      <c r="J80" s="92">
        <v>5.3561848597972546</v>
      </c>
      <c r="K80" s="92">
        <v>5.3561848597972546</v>
      </c>
      <c r="L80" s="93">
        <f t="shared" si="13"/>
        <v>5.2643760931989165</v>
      </c>
      <c r="M80" s="91">
        <v>5.2219418988453219</v>
      </c>
      <c r="N80" s="92">
        <v>5.7192696987353511</v>
      </c>
      <c r="O80" s="92">
        <v>5.470605798790336</v>
      </c>
      <c r="P80" s="92">
        <v>5.3240084278871356</v>
      </c>
      <c r="Q80" s="92">
        <v>5.5775326387389033</v>
      </c>
      <c r="R80" s="92">
        <v>5.5775326387389033</v>
      </c>
      <c r="S80" s="94">
        <f t="shared" si="14"/>
        <v>5.4818151836226576</v>
      </c>
      <c r="U80" t="s">
        <v>130</v>
      </c>
      <c r="V80" t="s">
        <v>133</v>
      </c>
      <c r="W80">
        <v>5.1716322419915803</v>
      </c>
      <c r="X80">
        <v>4.9253640399919805</v>
      </c>
      <c r="Y80">
        <v>5.6641686459907774</v>
      </c>
      <c r="Z80">
        <v>5.1127219116246536</v>
      </c>
      <c r="AA80">
        <v>5.3561848597972546</v>
      </c>
      <c r="AB80">
        <v>5.3561848597972546</v>
      </c>
      <c r="AC80">
        <v>5.2643760931989165</v>
      </c>
      <c r="AD80">
        <v>5.2219418988453219</v>
      </c>
      <c r="AE80">
        <v>5.7192696987353511</v>
      </c>
      <c r="AF80">
        <v>5.470605798790336</v>
      </c>
      <c r="AG80">
        <v>5.3240084278871356</v>
      </c>
      <c r="AH80">
        <v>5.5775326387389033</v>
      </c>
      <c r="AI80">
        <v>5.5775326387389033</v>
      </c>
      <c r="AJ80">
        <v>5.4818151836226576</v>
      </c>
    </row>
    <row r="81" spans="1:36" hidden="1">
      <c r="A81" s="71" t="s">
        <v>130</v>
      </c>
      <c r="B81" s="17" t="s">
        <v>133</v>
      </c>
      <c r="C81" s="89" t="s">
        <v>150</v>
      </c>
      <c r="D81" s="89" t="s">
        <v>150</v>
      </c>
      <c r="E81" s="90" t="str">
        <f>VLOOKUP(D81,'[46]Yield Cal Oracle (base) '!$D:$E,2,0)</f>
        <v>TEGPSP21A226M8RKT</v>
      </c>
      <c r="F81" s="91">
        <v>27.652408113496552</v>
      </c>
      <c r="G81" s="92">
        <v>26.335626774758623</v>
      </c>
      <c r="H81" s="92">
        <v>30.285970790972414</v>
      </c>
      <c r="I81" s="92">
        <v>31.134109398765567</v>
      </c>
      <c r="J81" s="92">
        <v>32.616686036802022</v>
      </c>
      <c r="K81" s="92">
        <v>32.616686036802022</v>
      </c>
      <c r="L81" s="93">
        <f t="shared" si="13"/>
        <v>30.106914525266205</v>
      </c>
      <c r="M81" s="91">
        <v>35.223409560483979</v>
      </c>
      <c r="N81" s="92">
        <v>38.57801999481579</v>
      </c>
      <c r="O81" s="92">
        <v>36.900714777649881</v>
      </c>
      <c r="P81" s="92">
        <v>35.799938276934064</v>
      </c>
      <c r="Q81" s="92">
        <v>37.504697242502353</v>
      </c>
      <c r="R81" s="92">
        <v>37.504697242502353</v>
      </c>
      <c r="S81" s="94">
        <f t="shared" si="14"/>
        <v>36.918579515814734</v>
      </c>
      <c r="U81" t="s">
        <v>130</v>
      </c>
      <c r="V81" t="s">
        <v>133</v>
      </c>
      <c r="W81">
        <v>27.652408113496552</v>
      </c>
      <c r="X81">
        <v>26.335626774758623</v>
      </c>
      <c r="Y81">
        <v>30.285970790972414</v>
      </c>
      <c r="Z81">
        <v>31.134109398765567</v>
      </c>
      <c r="AA81">
        <v>32.616686036802022</v>
      </c>
      <c r="AB81">
        <v>32.616686036802022</v>
      </c>
      <c r="AC81">
        <v>30.106914525266205</v>
      </c>
      <c r="AD81">
        <v>35.223409560483979</v>
      </c>
      <c r="AE81">
        <v>38.57801999481579</v>
      </c>
      <c r="AF81">
        <v>36.900714777649881</v>
      </c>
      <c r="AG81">
        <v>35.799938276934064</v>
      </c>
      <c r="AH81">
        <v>37.504697242502353</v>
      </c>
      <c r="AI81">
        <v>37.504697242502353</v>
      </c>
      <c r="AJ81">
        <v>36.918579515814734</v>
      </c>
    </row>
    <row r="82" spans="1:36" hidden="1">
      <c r="A82" s="71" t="s">
        <v>130</v>
      </c>
      <c r="B82" s="17" t="s">
        <v>133</v>
      </c>
      <c r="C82" s="89" t="s">
        <v>151</v>
      </c>
      <c r="D82" s="89" t="s">
        <v>151</v>
      </c>
      <c r="E82" s="90" t="str">
        <f>VLOOKUP(D82,'[46]Yield Cal Oracle (base) '!$D:$E,2,0)</f>
        <v>TEGPSP21C106M1508RKT</v>
      </c>
      <c r="F82" s="91">
        <v>60.603742530728738</v>
      </c>
      <c r="G82" s="92">
        <v>57.71785002926547</v>
      </c>
      <c r="H82" s="92">
        <v>66.375527533655287</v>
      </c>
      <c r="I82" s="92">
        <v>65.096047921118426</v>
      </c>
      <c r="J82" s="92">
        <v>68.195859726885971</v>
      </c>
      <c r="K82" s="92">
        <v>68.195859726885971</v>
      </c>
      <c r="L82" s="93">
        <f t="shared" si="13"/>
        <v>64.364147911423302</v>
      </c>
      <c r="M82" s="91">
        <v>74.232261907374664</v>
      </c>
      <c r="N82" s="92">
        <v>81.302001136648457</v>
      </c>
      <c r="O82" s="92">
        <v>77.767131522011567</v>
      </c>
      <c r="P82" s="92">
        <v>74.55301092846247</v>
      </c>
      <c r="Q82" s="92">
        <v>78.103154306008278</v>
      </c>
      <c r="R82" s="92">
        <v>78.103154306008278</v>
      </c>
      <c r="S82" s="94">
        <f t="shared" si="14"/>
        <v>77.343452351085617</v>
      </c>
      <c r="U82" t="s">
        <v>130</v>
      </c>
      <c r="V82" t="s">
        <v>133</v>
      </c>
      <c r="W82">
        <v>60.603742530728738</v>
      </c>
      <c r="X82">
        <v>57.71785002926547</v>
      </c>
      <c r="Y82">
        <v>66.375527533655287</v>
      </c>
      <c r="Z82">
        <v>65.096047921118426</v>
      </c>
      <c r="AA82">
        <v>68.195859726885971</v>
      </c>
      <c r="AB82">
        <v>68.195859726885971</v>
      </c>
      <c r="AC82">
        <v>64.364147911423302</v>
      </c>
      <c r="AD82">
        <v>74.232261907374664</v>
      </c>
      <c r="AE82">
        <v>81.302001136648457</v>
      </c>
      <c r="AF82">
        <v>77.767131522011567</v>
      </c>
      <c r="AG82">
        <v>74.55301092846247</v>
      </c>
      <c r="AH82">
        <v>78.103154306008278</v>
      </c>
      <c r="AI82">
        <v>78.103154306008278</v>
      </c>
      <c r="AJ82">
        <v>77.343452351085617</v>
      </c>
    </row>
    <row r="83" spans="1:36" hidden="1">
      <c r="A83" s="71" t="s">
        <v>130</v>
      </c>
      <c r="B83" s="17" t="s">
        <v>133</v>
      </c>
      <c r="C83" s="72" t="s">
        <v>152</v>
      </c>
      <c r="D83" s="72" t="s">
        <v>152</v>
      </c>
      <c r="E83" s="66" t="e">
        <f>VLOOKUP(D83,'[46]Yield Cal Oracle (base) '!$D:$E,2,0)</f>
        <v>#N/A</v>
      </c>
      <c r="F83" s="91">
        <v>3.459623460195798</v>
      </c>
      <c r="G83" s="92">
        <v>3.29487948590076</v>
      </c>
      <c r="H83" s="92">
        <v>3.7891114087858742</v>
      </c>
      <c r="I83" s="92">
        <v>3.4063984838850927</v>
      </c>
      <c r="J83" s="92">
        <v>3.5686079354986693</v>
      </c>
      <c r="K83" s="92">
        <v>3.5686079354986693</v>
      </c>
      <c r="L83" s="93">
        <f t="shared" si="13"/>
        <v>3.5145381182941442</v>
      </c>
      <c r="M83" s="91">
        <v>3.4572583401875669</v>
      </c>
      <c r="N83" s="92">
        <v>3.7865210392530493</v>
      </c>
      <c r="O83" s="92">
        <v>3.6218896897203079</v>
      </c>
      <c r="P83" s="92">
        <v>3.5104469300366077</v>
      </c>
      <c r="Q83" s="92">
        <v>3.6776110695621607</v>
      </c>
      <c r="R83" s="92">
        <v>3.6776110695621607</v>
      </c>
      <c r="S83" s="94">
        <f t="shared" si="14"/>
        <v>3.6218896897203088</v>
      </c>
      <c r="U83" t="s">
        <v>130</v>
      </c>
      <c r="V83" t="s">
        <v>133</v>
      </c>
      <c r="W83">
        <v>3.459623460195798</v>
      </c>
      <c r="X83">
        <v>3.29487948590076</v>
      </c>
      <c r="Y83">
        <v>3.7891114087858742</v>
      </c>
      <c r="Z83">
        <v>3.4063984838850927</v>
      </c>
      <c r="AA83">
        <v>3.5686079354986693</v>
      </c>
      <c r="AB83">
        <v>3.5686079354986693</v>
      </c>
      <c r="AC83">
        <v>3.5145381182941442</v>
      </c>
      <c r="AD83">
        <v>3.4572583401875669</v>
      </c>
      <c r="AE83">
        <v>3.7865210392530493</v>
      </c>
      <c r="AF83">
        <v>3.6218896897203079</v>
      </c>
      <c r="AG83">
        <v>3.5104469300366077</v>
      </c>
      <c r="AH83">
        <v>3.6776110695621607</v>
      </c>
      <c r="AI83">
        <v>3.6776110695621607</v>
      </c>
      <c r="AJ83">
        <v>3.6218896897203088</v>
      </c>
    </row>
    <row r="84" spans="1:36" hidden="1">
      <c r="A84" s="71"/>
      <c r="B84" s="17"/>
      <c r="C84" s="89" t="s">
        <v>153</v>
      </c>
      <c r="D84" s="89" t="s">
        <v>153</v>
      </c>
      <c r="E84" s="90" t="str">
        <f>VLOOKUP(D84,'[46]Yield Cal Oracle (base) '!$D:$E,2,0)</f>
        <v>TEGPSP21E475M3008RKT</v>
      </c>
      <c r="F84" s="91">
        <v>216.35188723363694</v>
      </c>
      <c r="G84" s="92">
        <v>206.04941641298757</v>
      </c>
      <c r="H84" s="92">
        <v>236.95682887493575</v>
      </c>
      <c r="I84" s="92">
        <v>232.32215795990439</v>
      </c>
      <c r="J84" s="92">
        <v>243.385117862757</v>
      </c>
      <c r="K84" s="92">
        <v>243.385117862757</v>
      </c>
      <c r="L84" s="93">
        <f t="shared" si="13"/>
        <v>229.74175436782977</v>
      </c>
      <c r="M84" s="91">
        <v>263.81404248800106</v>
      </c>
      <c r="N84" s="92">
        <v>288.93918939162018</v>
      </c>
      <c r="O84" s="92">
        <v>276.37661593981056</v>
      </c>
      <c r="P84" s="92">
        <v>267.87113727310367</v>
      </c>
      <c r="Q84" s="92">
        <v>280.62690571468005</v>
      </c>
      <c r="R84" s="92">
        <v>280.62690571468005</v>
      </c>
      <c r="S84" s="94">
        <f t="shared" si="14"/>
        <v>276.37579942031596</v>
      </c>
      <c r="W84">
        <v>216.35188723363694</v>
      </c>
      <c r="X84">
        <v>206.04941641298757</v>
      </c>
      <c r="Y84">
        <v>236.95682887493575</v>
      </c>
      <c r="Z84">
        <v>232.32215795990439</v>
      </c>
      <c r="AA84">
        <v>243.385117862757</v>
      </c>
      <c r="AB84">
        <v>243.385117862757</v>
      </c>
      <c r="AC84">
        <v>229.74175436782977</v>
      </c>
      <c r="AD84">
        <v>263.81404248800106</v>
      </c>
      <c r="AE84">
        <v>288.93918939162018</v>
      </c>
      <c r="AF84">
        <v>276.37661593981056</v>
      </c>
      <c r="AG84">
        <v>267.87113727310367</v>
      </c>
      <c r="AH84">
        <v>280.62690571468005</v>
      </c>
      <c r="AI84">
        <v>280.62690571468005</v>
      </c>
      <c r="AJ84">
        <v>276.37579942031596</v>
      </c>
    </row>
    <row r="85" spans="1:36" hidden="1">
      <c r="A85" s="71" t="s">
        <v>130</v>
      </c>
      <c r="B85" s="17" t="s">
        <v>133</v>
      </c>
      <c r="C85" s="89" t="s">
        <v>154</v>
      </c>
      <c r="D85" s="89" t="s">
        <v>154</v>
      </c>
      <c r="E85" s="90" t="str">
        <f>VLOOKUP(D85,'[46]Yield Cal Oracle (base) '!$D:$E,2,0)</f>
        <v>TEGPSP21E475M8R</v>
      </c>
      <c r="F85" s="91">
        <v>5.9255373766008228</v>
      </c>
      <c r="G85" s="92">
        <v>5.6433689300960221</v>
      </c>
      <c r="H85" s="92">
        <v>6.4898742696104232</v>
      </c>
      <c r="I85" s="92">
        <v>5.8402761895680237</v>
      </c>
      <c r="J85" s="92">
        <v>6.1183845795474534</v>
      </c>
      <c r="K85" s="92">
        <v>6.1183845795474534</v>
      </c>
      <c r="L85" s="93">
        <f t="shared" si="13"/>
        <v>6.0226376541616995</v>
      </c>
      <c r="M85" s="91">
        <v>5.9368755181568478</v>
      </c>
      <c r="N85" s="92">
        <v>6.5022922341717857</v>
      </c>
      <c r="O85" s="92">
        <v>6.2195838761643163</v>
      </c>
      <c r="P85" s="92">
        <v>6.0344203392663953</v>
      </c>
      <c r="Q85" s="92">
        <v>6.3217736887552709</v>
      </c>
      <c r="R85" s="92">
        <v>6.3217736887552709</v>
      </c>
      <c r="S85" s="94">
        <f t="shared" si="14"/>
        <v>6.2227865575449819</v>
      </c>
      <c r="U85" t="s">
        <v>130</v>
      </c>
      <c r="V85" t="s">
        <v>133</v>
      </c>
      <c r="W85">
        <v>5.9255373766008228</v>
      </c>
      <c r="X85">
        <v>5.6433689300960221</v>
      </c>
      <c r="Y85">
        <v>6.4898742696104232</v>
      </c>
      <c r="Z85">
        <v>5.8402761895680237</v>
      </c>
      <c r="AA85">
        <v>6.1183845795474534</v>
      </c>
      <c r="AB85">
        <v>6.1183845795474534</v>
      </c>
      <c r="AC85">
        <v>6.0226376541616995</v>
      </c>
      <c r="AD85">
        <v>5.9368755181568478</v>
      </c>
      <c r="AE85">
        <v>6.5022922341717857</v>
      </c>
      <c r="AF85">
        <v>6.2195838761643163</v>
      </c>
      <c r="AG85">
        <v>6.0344203392663953</v>
      </c>
      <c r="AH85">
        <v>6.3217736887552709</v>
      </c>
      <c r="AI85">
        <v>6.3217736887552709</v>
      </c>
      <c r="AJ85">
        <v>6.2227865575449819</v>
      </c>
    </row>
    <row r="86" spans="1:36" hidden="1">
      <c r="A86" s="81"/>
      <c r="B86" s="82" t="s">
        <v>133</v>
      </c>
      <c r="C86" s="83" t="s">
        <v>88</v>
      </c>
      <c r="D86" s="83" t="s">
        <v>88</v>
      </c>
      <c r="E86" s="84"/>
      <c r="F86" s="85">
        <f>SUM(F65:F85)</f>
        <v>1423.4725544036805</v>
      </c>
      <c r="G86" s="86">
        <f t="shared" ref="G86:S86" si="15">SUM(G65:G85)</f>
        <v>1355.6881470511244</v>
      </c>
      <c r="H86" s="86">
        <f t="shared" si="15"/>
        <v>1559.0413691087924</v>
      </c>
      <c r="I86" s="86">
        <f t="shared" si="15"/>
        <v>1515.002463297466</v>
      </c>
      <c r="J86" s="86">
        <f t="shared" si="15"/>
        <v>1587.1454377402026</v>
      </c>
      <c r="K86" s="86">
        <f t="shared" si="15"/>
        <v>1587.1454377402026</v>
      </c>
      <c r="L86" s="87">
        <f t="shared" si="15"/>
        <v>1504.5825682235779</v>
      </c>
      <c r="M86" s="85">
        <f t="shared" si="15"/>
        <v>1698.1871360740779</v>
      </c>
      <c r="N86" s="86">
        <f t="shared" si="15"/>
        <v>1859.9192442716098</v>
      </c>
      <c r="O86" s="86">
        <f t="shared" si="15"/>
        <v>1779.0531901728443</v>
      </c>
      <c r="P86" s="86">
        <f t="shared" si="15"/>
        <v>1732.3589020395723</v>
      </c>
      <c r="Q86" s="86">
        <f t="shared" si="15"/>
        <v>1814.8521830890759</v>
      </c>
      <c r="R86" s="86">
        <f t="shared" si="15"/>
        <v>1814.8521830890759</v>
      </c>
      <c r="S86" s="88">
        <f t="shared" si="15"/>
        <v>1783.2038064560429</v>
      </c>
      <c r="V86" t="s">
        <v>133</v>
      </c>
      <c r="W86">
        <v>1423.4725544036805</v>
      </c>
      <c r="X86">
        <v>1355.6881470511244</v>
      </c>
      <c r="Y86">
        <v>1559.0413691087924</v>
      </c>
      <c r="Z86">
        <v>1515.002463297466</v>
      </c>
      <c r="AA86">
        <v>1587.1454377402026</v>
      </c>
      <c r="AB86">
        <v>1587.1454377402026</v>
      </c>
      <c r="AC86">
        <v>1504.5825682235779</v>
      </c>
      <c r="AD86">
        <v>1698.1871360740779</v>
      </c>
      <c r="AE86">
        <v>1859.9192442716098</v>
      </c>
      <c r="AF86">
        <v>1779.0531901728443</v>
      </c>
      <c r="AG86">
        <v>1732.3589020395723</v>
      </c>
      <c r="AH86">
        <v>1814.8521830890759</v>
      </c>
      <c r="AI86">
        <v>1814.8521830890759</v>
      </c>
      <c r="AJ86">
        <v>1783.2038064560429</v>
      </c>
    </row>
    <row r="87" spans="1:36">
      <c r="A87" s="99" t="s">
        <v>130</v>
      </c>
      <c r="B87" s="100"/>
      <c r="C87" s="101" t="s">
        <v>88</v>
      </c>
      <c r="D87" s="101" t="s">
        <v>88</v>
      </c>
      <c r="E87" s="84"/>
      <c r="F87" s="102">
        <f>+F64+F86</f>
        <v>1423.4725544036805</v>
      </c>
      <c r="G87" s="103">
        <f t="shared" ref="G87:S87" si="16">+G64+G86</f>
        <v>1355.6881470511244</v>
      </c>
      <c r="H87" s="103">
        <f t="shared" si="16"/>
        <v>1559.0413691087924</v>
      </c>
      <c r="I87" s="103">
        <f t="shared" si="16"/>
        <v>1515.002463297466</v>
      </c>
      <c r="J87" s="103">
        <f t="shared" si="16"/>
        <v>1587.1454377402026</v>
      </c>
      <c r="K87" s="103">
        <f t="shared" si="16"/>
        <v>1587.1454377402026</v>
      </c>
      <c r="L87" s="104">
        <f t="shared" si="16"/>
        <v>1504.5825682235779</v>
      </c>
      <c r="M87" s="102">
        <f t="shared" si="16"/>
        <v>1698.1871360740779</v>
      </c>
      <c r="N87" s="103">
        <f t="shared" si="16"/>
        <v>1859.9192442716098</v>
      </c>
      <c r="O87" s="103">
        <f t="shared" si="16"/>
        <v>1779.0531901728443</v>
      </c>
      <c r="P87" s="103">
        <f t="shared" si="16"/>
        <v>1732.3589020395723</v>
      </c>
      <c r="Q87" s="103">
        <f t="shared" si="16"/>
        <v>1814.8521830890759</v>
      </c>
      <c r="R87" s="103">
        <f t="shared" si="16"/>
        <v>1814.8521830890759</v>
      </c>
      <c r="S87" s="105">
        <f t="shared" si="16"/>
        <v>1783.2038064560429</v>
      </c>
      <c r="U87" t="s">
        <v>130</v>
      </c>
      <c r="W87">
        <v>1423.4725544036805</v>
      </c>
      <c r="X87">
        <v>1355.6881470511244</v>
      </c>
      <c r="Y87">
        <v>1559.0413691087924</v>
      </c>
      <c r="Z87">
        <v>1515.002463297466</v>
      </c>
      <c r="AA87">
        <v>1587.1454377402026</v>
      </c>
      <c r="AB87">
        <v>1587.1454377402026</v>
      </c>
      <c r="AC87">
        <v>1504.5825682235779</v>
      </c>
      <c r="AD87">
        <v>1698.1871360740779</v>
      </c>
      <c r="AE87">
        <v>1859.9192442716098</v>
      </c>
      <c r="AF87">
        <v>1779.0531901728443</v>
      </c>
      <c r="AG87">
        <v>1732.3589020395723</v>
      </c>
      <c r="AH87">
        <v>1814.8521830890759</v>
      </c>
      <c r="AI87">
        <v>1814.8521830890759</v>
      </c>
      <c r="AJ87">
        <v>1783.2038064560429</v>
      </c>
    </row>
    <row r="88" spans="1:36" hidden="1">
      <c r="A88" s="71" t="s">
        <v>155</v>
      </c>
      <c r="B88" s="17" t="s">
        <v>156</v>
      </c>
      <c r="C88" s="89" t="s">
        <v>157</v>
      </c>
      <c r="D88" s="89" t="s">
        <v>157</v>
      </c>
      <c r="E88" s="90" t="str">
        <f>VLOOKUP(D88,'[46]Yield Cal Oracle (base) '!$D:$E,2,0)</f>
        <v>TEPSLA0E227M258RKT</v>
      </c>
      <c r="F88" s="91">
        <v>14.292108215154027</v>
      </c>
      <c r="G88" s="92">
        <v>13.611531633480027</v>
      </c>
      <c r="H88" s="92">
        <v>15.65326137850203</v>
      </c>
      <c r="I88" s="92">
        <v>17.03817278121182</v>
      </c>
      <c r="J88" s="92">
        <v>17.849514342221909</v>
      </c>
      <c r="K88" s="92">
        <v>17.849514342221909</v>
      </c>
      <c r="L88" s="93">
        <f t="shared" ref="L88:L169" si="17">SUM(F88:K88)/6</f>
        <v>16.049017115465286</v>
      </c>
      <c r="M88" s="91">
        <v>19.373028733070456</v>
      </c>
      <c r="N88" s="92">
        <v>21.21807908860097</v>
      </c>
      <c r="O88" s="92">
        <v>20.295553910835711</v>
      </c>
      <c r="P88" s="92">
        <v>19.746714038215735</v>
      </c>
      <c r="Q88" s="92">
        <v>20.687033754321245</v>
      </c>
      <c r="R88" s="92">
        <v>20.687033754321245</v>
      </c>
      <c r="S88" s="94">
        <f t="shared" ref="S88:S133" si="18">SUM(M88:R88)/6</f>
        <v>20.334573879894226</v>
      </c>
      <c r="U88" t="s">
        <v>155</v>
      </c>
      <c r="V88" t="s">
        <v>156</v>
      </c>
      <c r="W88">
        <v>14.292108215154027</v>
      </c>
      <c r="X88">
        <v>13.611531633480027</v>
      </c>
      <c r="Y88">
        <v>15.65326137850203</v>
      </c>
      <c r="Z88">
        <v>17.03817278121182</v>
      </c>
      <c r="AA88">
        <v>17.849514342221909</v>
      </c>
      <c r="AB88">
        <v>17.849514342221909</v>
      </c>
      <c r="AC88">
        <v>16.049017115465286</v>
      </c>
      <c r="AD88">
        <v>19.373028733070456</v>
      </c>
      <c r="AE88">
        <v>21.21807908860097</v>
      </c>
      <c r="AF88">
        <v>20.295553910835711</v>
      </c>
      <c r="AG88">
        <v>19.746714038215735</v>
      </c>
      <c r="AH88">
        <v>20.687033754321245</v>
      </c>
      <c r="AI88">
        <v>20.687033754321245</v>
      </c>
      <c r="AJ88">
        <v>20.334573879894226</v>
      </c>
    </row>
    <row r="89" spans="1:36" hidden="1">
      <c r="A89" s="71" t="s">
        <v>155</v>
      </c>
      <c r="B89" s="17" t="s">
        <v>156</v>
      </c>
      <c r="C89" s="89" t="s">
        <v>158</v>
      </c>
      <c r="D89" s="89" t="s">
        <v>158</v>
      </c>
      <c r="E89" s="90" t="str">
        <f>VLOOKUP(D89,'[46]Yield Cal Oracle (base) '!$D:$E,2,0)</f>
        <v>TEPSLA0E227M358RKT</v>
      </c>
      <c r="F89" s="91">
        <v>-0.79023824678430399</v>
      </c>
      <c r="G89" s="92">
        <v>-0.75260785408028963</v>
      </c>
      <c r="H89" s="92">
        <v>-0.86549903219233304</v>
      </c>
      <c r="I89" s="92">
        <v>-0.94519532196676959</v>
      </c>
      <c r="J89" s="92">
        <v>-0.99020462301280632</v>
      </c>
      <c r="K89" s="92">
        <v>-0.99020462301280632</v>
      </c>
      <c r="L89" s="93">
        <f t="shared" si="17"/>
        <v>-0.88899161684155148</v>
      </c>
      <c r="M89" s="91">
        <v>-1.0738469495814547</v>
      </c>
      <c r="N89" s="92">
        <v>-1.1761180876368313</v>
      </c>
      <c r="O89" s="92">
        <v>-1.1249825186091429</v>
      </c>
      <c r="P89" s="92">
        <v>-1.0970965820890055</v>
      </c>
      <c r="Q89" s="92">
        <v>-1.1493392764741961</v>
      </c>
      <c r="R89" s="92">
        <v>-1.1493392764741961</v>
      </c>
      <c r="S89" s="94">
        <f t="shared" si="18"/>
        <v>-1.1284537818108042</v>
      </c>
      <c r="U89" t="s">
        <v>155</v>
      </c>
      <c r="V89" t="s">
        <v>156</v>
      </c>
      <c r="W89">
        <v>-0.79023824678430399</v>
      </c>
      <c r="X89">
        <v>-0.75260785408028963</v>
      </c>
      <c r="Y89">
        <v>-0.86549903219233304</v>
      </c>
      <c r="Z89">
        <v>-0.94519532196676959</v>
      </c>
      <c r="AA89">
        <v>-0.99020462301280632</v>
      </c>
      <c r="AB89">
        <v>-0.99020462301280632</v>
      </c>
      <c r="AC89">
        <v>-0.88899161684155148</v>
      </c>
      <c r="AD89">
        <v>-1.0738469495814547</v>
      </c>
      <c r="AE89">
        <v>-1.1761180876368313</v>
      </c>
      <c r="AF89">
        <v>-1.1249825186091429</v>
      </c>
      <c r="AG89">
        <v>-1.0970965820890055</v>
      </c>
      <c r="AH89">
        <v>-1.1493392764741961</v>
      </c>
      <c r="AI89">
        <v>-1.1493392764741961</v>
      </c>
      <c r="AJ89">
        <v>-1.1284537818108042</v>
      </c>
    </row>
    <row r="90" spans="1:36" hidden="1">
      <c r="A90" s="71" t="s">
        <v>155</v>
      </c>
      <c r="B90" s="17" t="s">
        <v>156</v>
      </c>
      <c r="C90" s="89" t="s">
        <v>159</v>
      </c>
      <c r="D90" s="89" t="s">
        <v>159</v>
      </c>
      <c r="E90" s="90" t="str">
        <f>VLOOKUP(D90,'[46]Yield Cal Oracle (base) '!$D:$E,2,0)</f>
        <v>TEPSLA0E227M458RSY</v>
      </c>
      <c r="F90" s="91">
        <v>20.6186591433766</v>
      </c>
      <c r="G90" s="92">
        <v>19.636818231787235</v>
      </c>
      <c r="H90" s="92">
        <v>22.582340966555321</v>
      </c>
      <c r="I90" s="92">
        <v>20.466674943403582</v>
      </c>
      <c r="J90" s="92">
        <v>21.441278512137089</v>
      </c>
      <c r="K90" s="92">
        <v>21.441278512137089</v>
      </c>
      <c r="L90" s="93">
        <f t="shared" si="17"/>
        <v>21.031175051566152</v>
      </c>
      <c r="M90" s="91">
        <v>21.035225846479577</v>
      </c>
      <c r="N90" s="92">
        <v>23.038580689001439</v>
      </c>
      <c r="O90" s="92">
        <v>22.036903267740509</v>
      </c>
      <c r="P90" s="92">
        <v>21.532676396594347</v>
      </c>
      <c r="Q90" s="92">
        <v>22.558041939289318</v>
      </c>
      <c r="R90" s="92">
        <v>22.558041939289318</v>
      </c>
      <c r="S90" s="94">
        <f t="shared" si="18"/>
        <v>22.126578346399086</v>
      </c>
      <c r="U90" t="s">
        <v>155</v>
      </c>
      <c r="V90" t="s">
        <v>156</v>
      </c>
      <c r="W90">
        <v>20.6186591433766</v>
      </c>
      <c r="X90">
        <v>19.636818231787235</v>
      </c>
      <c r="Y90">
        <v>22.582340966555321</v>
      </c>
      <c r="Z90">
        <v>20.466674943403582</v>
      </c>
      <c r="AA90">
        <v>21.441278512137089</v>
      </c>
      <c r="AB90">
        <v>21.441278512137089</v>
      </c>
      <c r="AC90">
        <v>21.031175051566152</v>
      </c>
      <c r="AD90">
        <v>21.035225846479577</v>
      </c>
      <c r="AE90">
        <v>23.038580689001439</v>
      </c>
      <c r="AF90">
        <v>22.036903267740509</v>
      </c>
      <c r="AG90">
        <v>21.532676396594347</v>
      </c>
      <c r="AH90">
        <v>22.558041939289318</v>
      </c>
      <c r="AI90">
        <v>22.558041939289318</v>
      </c>
      <c r="AJ90">
        <v>22.126578346399086</v>
      </c>
    </row>
    <row r="91" spans="1:36" hidden="1">
      <c r="A91" s="71" t="s">
        <v>155</v>
      </c>
      <c r="B91" s="17" t="s">
        <v>156</v>
      </c>
      <c r="C91" s="72" t="s">
        <v>160</v>
      </c>
      <c r="D91" s="72" t="s">
        <v>160</v>
      </c>
      <c r="E91" s="66" t="e">
        <f>VLOOKUP(D91,'[46]Yield Cal Oracle (base) '!$D:$E,2,0)</f>
        <v>#N/A</v>
      </c>
      <c r="F91" s="91">
        <v>0.24546022789734045</v>
      </c>
      <c r="G91" s="92">
        <v>0.23377164561651473</v>
      </c>
      <c r="H91" s="92">
        <v>0.26883739245899191</v>
      </c>
      <c r="I91" s="92">
        <v>0.24365089218337591</v>
      </c>
      <c r="J91" s="92">
        <v>0.25525331562067954</v>
      </c>
      <c r="K91" s="92">
        <v>0.25525331562067954</v>
      </c>
      <c r="L91" s="93">
        <f t="shared" si="17"/>
        <v>0.25037113156626373</v>
      </c>
      <c r="M91" s="91">
        <v>0.25041935531523307</v>
      </c>
      <c r="N91" s="92">
        <v>0.27426881772620759</v>
      </c>
      <c r="O91" s="92">
        <v>0.26234408652072028</v>
      </c>
      <c r="P91" s="92">
        <v>0.25634138567374221</v>
      </c>
      <c r="Q91" s="92">
        <v>0.2685481183248728</v>
      </c>
      <c r="R91" s="92">
        <v>0.2685481183248728</v>
      </c>
      <c r="S91" s="94">
        <f t="shared" si="18"/>
        <v>0.26341164698094149</v>
      </c>
      <c r="U91" t="s">
        <v>155</v>
      </c>
      <c r="V91" t="s">
        <v>156</v>
      </c>
      <c r="W91">
        <v>0.24546022789734045</v>
      </c>
      <c r="X91">
        <v>0.23377164561651473</v>
      </c>
      <c r="Y91">
        <v>0.26883739245899191</v>
      </c>
      <c r="Z91">
        <v>0.24365089218337591</v>
      </c>
      <c r="AA91">
        <v>0.25525331562067954</v>
      </c>
      <c r="AB91">
        <v>0.25525331562067954</v>
      </c>
      <c r="AC91">
        <v>0.25037113156626373</v>
      </c>
      <c r="AD91">
        <v>0.25041935531523307</v>
      </c>
      <c r="AE91">
        <v>0.27426881772620759</v>
      </c>
      <c r="AF91">
        <v>0.26234408652072028</v>
      </c>
      <c r="AG91">
        <v>0.25634138567374221</v>
      </c>
      <c r="AH91">
        <v>0.2685481183248728</v>
      </c>
      <c r="AI91">
        <v>0.2685481183248728</v>
      </c>
      <c r="AJ91">
        <v>0.26341164698094149</v>
      </c>
    </row>
    <row r="92" spans="1:36" hidden="1">
      <c r="A92" s="71" t="s">
        <v>155</v>
      </c>
      <c r="B92" s="17" t="s">
        <v>156</v>
      </c>
      <c r="C92" s="72" t="s">
        <v>161</v>
      </c>
      <c r="D92" s="72" t="s">
        <v>161</v>
      </c>
      <c r="E92" s="66" t="e">
        <f>VLOOKUP(D92,'[46]Yield Cal Oracle (base) '!$D:$E,2,0)</f>
        <v>#N/A</v>
      </c>
      <c r="F92" s="91">
        <v>-2.26205698142007E-2</v>
      </c>
      <c r="G92" s="92">
        <v>-2.1543399823048291E-2</v>
      </c>
      <c r="H92" s="92">
        <v>-2.4774909796505529E-2</v>
      </c>
      <c r="I92" s="92">
        <v>-2.7056216091298782E-2</v>
      </c>
      <c r="J92" s="92">
        <v>-2.834460733374158E-2</v>
      </c>
      <c r="K92" s="92">
        <v>-2.834460733374158E-2</v>
      </c>
      <c r="L92" s="93">
        <f t="shared" si="17"/>
        <v>-2.5447385032089407E-2</v>
      </c>
      <c r="M92" s="91">
        <v>-3.0738868931769147E-2</v>
      </c>
      <c r="N92" s="92">
        <v>-3.36663802586043E-2</v>
      </c>
      <c r="O92" s="92">
        <v>-3.2202624595186725E-2</v>
      </c>
      <c r="P92" s="92">
        <v>-3.1404389662297784E-2</v>
      </c>
      <c r="Q92" s="92">
        <v>-3.2899836789073864E-2</v>
      </c>
      <c r="R92" s="92">
        <v>-3.2899836789073864E-2</v>
      </c>
      <c r="S92" s="94">
        <f t="shared" si="18"/>
        <v>-3.2301989504334279E-2</v>
      </c>
      <c r="U92" t="s">
        <v>155</v>
      </c>
      <c r="V92" t="s">
        <v>156</v>
      </c>
      <c r="W92">
        <v>-2.26205698142007E-2</v>
      </c>
      <c r="X92">
        <v>-2.1543399823048291E-2</v>
      </c>
      <c r="Y92">
        <v>-2.4774909796505529E-2</v>
      </c>
      <c r="Z92">
        <v>-2.7056216091298782E-2</v>
      </c>
      <c r="AA92">
        <v>-2.834460733374158E-2</v>
      </c>
      <c r="AB92">
        <v>-2.834460733374158E-2</v>
      </c>
      <c r="AC92">
        <v>-2.5447385032089407E-2</v>
      </c>
      <c r="AD92">
        <v>-3.0738868931769147E-2</v>
      </c>
      <c r="AE92">
        <v>-3.36663802586043E-2</v>
      </c>
      <c r="AF92">
        <v>-3.2202624595186725E-2</v>
      </c>
      <c r="AG92">
        <v>-3.1404389662297784E-2</v>
      </c>
      <c r="AH92">
        <v>-3.2899836789073864E-2</v>
      </c>
      <c r="AI92">
        <v>-3.2899836789073864E-2</v>
      </c>
      <c r="AJ92">
        <v>-3.2301989504334279E-2</v>
      </c>
    </row>
    <row r="93" spans="1:36" hidden="1">
      <c r="A93" s="71" t="s">
        <v>155</v>
      </c>
      <c r="B93" s="17" t="s">
        <v>156</v>
      </c>
      <c r="C93" s="89" t="s">
        <v>162</v>
      </c>
      <c r="D93" s="89" t="s">
        <v>162</v>
      </c>
      <c r="E93" s="90" t="str">
        <f>VLOOKUP(D93,'[46]Yield Cal Oracle (base) '!$D:$E,2,0)</f>
        <v>TEPSLA0E686M708RKT</v>
      </c>
      <c r="F93" s="91">
        <v>1.9701323211312682</v>
      </c>
      <c r="G93" s="92">
        <v>1.8763164963154939</v>
      </c>
      <c r="H93" s="92">
        <v>2.1577639707628178</v>
      </c>
      <c r="I93" s="92">
        <v>2.3468802064541663</v>
      </c>
      <c r="J93" s="92">
        <v>2.4586364067615079</v>
      </c>
      <c r="K93" s="92">
        <v>2.4586364067615079</v>
      </c>
      <c r="L93" s="93">
        <f t="shared" si="17"/>
        <v>2.2113943013644604</v>
      </c>
      <c r="M93" s="91">
        <v>2.6488522037457121</v>
      </c>
      <c r="N93" s="92">
        <v>2.9011238421976846</v>
      </c>
      <c r="O93" s="92">
        <v>2.7749880229716983</v>
      </c>
      <c r="P93" s="92">
        <v>2.7052616973601245</v>
      </c>
      <c r="Q93" s="92">
        <v>2.8340836829487017</v>
      </c>
      <c r="R93" s="92">
        <v>2.8340836829487017</v>
      </c>
      <c r="S93" s="94">
        <f t="shared" si="18"/>
        <v>2.7830655220287706</v>
      </c>
      <c r="U93" t="s">
        <v>155</v>
      </c>
      <c r="V93" t="s">
        <v>156</v>
      </c>
      <c r="W93">
        <v>1.9701323211312682</v>
      </c>
      <c r="X93">
        <v>1.8763164963154939</v>
      </c>
      <c r="Y93">
        <v>2.1577639707628178</v>
      </c>
      <c r="Z93">
        <v>2.3468802064541663</v>
      </c>
      <c r="AA93">
        <v>2.4586364067615079</v>
      </c>
      <c r="AB93">
        <v>2.4586364067615079</v>
      </c>
      <c r="AC93">
        <v>2.2113943013644604</v>
      </c>
      <c r="AD93">
        <v>2.6488522037457121</v>
      </c>
      <c r="AE93">
        <v>2.9011238421976846</v>
      </c>
      <c r="AF93">
        <v>2.7749880229716983</v>
      </c>
      <c r="AG93">
        <v>2.7052616973601245</v>
      </c>
      <c r="AH93">
        <v>2.8340836829487017</v>
      </c>
      <c r="AI93">
        <v>2.8340836829487017</v>
      </c>
      <c r="AJ93">
        <v>2.7830655220287706</v>
      </c>
    </row>
    <row r="94" spans="1:36" hidden="1">
      <c r="A94" s="71" t="s">
        <v>155</v>
      </c>
      <c r="B94" s="17" t="s">
        <v>156</v>
      </c>
      <c r="C94" s="89" t="s">
        <v>163</v>
      </c>
      <c r="D94" s="89" t="s">
        <v>163</v>
      </c>
      <c r="E94" s="90" t="str">
        <f>VLOOKUP(D94,'[46]Yield Cal Oracle (base) '!$D:$E,2,0)</f>
        <v>TEPSLA0G107M2008RKT</v>
      </c>
      <c r="F94" s="91">
        <v>0.197559561696076</v>
      </c>
      <c r="G94" s="92">
        <v>0.18815196352007238</v>
      </c>
      <c r="H94" s="92">
        <v>0.21637475804808323</v>
      </c>
      <c r="I94" s="92">
        <v>0.23629883049169242</v>
      </c>
      <c r="J94" s="92">
        <v>0.24755115575320158</v>
      </c>
      <c r="K94" s="92">
        <v>0.24755115575320158</v>
      </c>
      <c r="L94" s="93">
        <f t="shared" si="17"/>
        <v>0.22224790421038787</v>
      </c>
      <c r="M94" s="91">
        <v>0.26846173739536372</v>
      </c>
      <c r="N94" s="92">
        <v>0.29402952190920789</v>
      </c>
      <c r="O94" s="92">
        <v>0.28124562965228583</v>
      </c>
      <c r="P94" s="92">
        <v>0.27427414552225138</v>
      </c>
      <c r="Q94" s="92">
        <v>0.28733481911854908</v>
      </c>
      <c r="R94" s="92">
        <v>0.28733481911854908</v>
      </c>
      <c r="S94" s="94">
        <f t="shared" si="18"/>
        <v>0.28211344545270117</v>
      </c>
      <c r="U94" t="s">
        <v>155</v>
      </c>
      <c r="V94" t="s">
        <v>156</v>
      </c>
      <c r="W94">
        <v>0.197559561696076</v>
      </c>
      <c r="X94">
        <v>0.18815196352007238</v>
      </c>
      <c r="Y94">
        <v>0.21637475804808323</v>
      </c>
      <c r="Z94">
        <v>0.23629883049169242</v>
      </c>
      <c r="AA94">
        <v>0.24755115575320158</v>
      </c>
      <c r="AB94">
        <v>0.24755115575320158</v>
      </c>
      <c r="AC94">
        <v>0.22224790421038787</v>
      </c>
      <c r="AD94">
        <v>0.26846173739536372</v>
      </c>
      <c r="AE94">
        <v>0.29402952190920789</v>
      </c>
      <c r="AF94">
        <v>0.28124562965228583</v>
      </c>
      <c r="AG94">
        <v>0.27427414552225138</v>
      </c>
      <c r="AH94">
        <v>0.28733481911854908</v>
      </c>
      <c r="AI94">
        <v>0.28733481911854908</v>
      </c>
      <c r="AJ94">
        <v>0.28211344545270117</v>
      </c>
    </row>
    <row r="95" spans="1:36" hidden="1">
      <c r="A95" s="71" t="s">
        <v>155</v>
      </c>
      <c r="B95" s="17" t="s">
        <v>156</v>
      </c>
      <c r="C95" s="72" t="s">
        <v>164</v>
      </c>
      <c r="D95" s="72" t="s">
        <v>164</v>
      </c>
      <c r="E95" s="66" t="e">
        <f>VLOOKUP(D95,'[46]Yield Cal Oracle (base) '!$D:$E,2,0)</f>
        <v>#N/A</v>
      </c>
      <c r="F95" s="91">
        <v>0.197559561696076</v>
      </c>
      <c r="G95" s="92">
        <v>0.18815196352007238</v>
      </c>
      <c r="H95" s="92">
        <v>0.21637475804808323</v>
      </c>
      <c r="I95" s="92">
        <v>0.2362988304916924</v>
      </c>
      <c r="J95" s="92">
        <v>0.24755115575320155</v>
      </c>
      <c r="K95" s="92">
        <v>0.24755115575320155</v>
      </c>
      <c r="L95" s="93">
        <f t="shared" si="17"/>
        <v>0.22224790421038787</v>
      </c>
      <c r="M95" s="91">
        <v>0.26846173739536366</v>
      </c>
      <c r="N95" s="92">
        <v>0.29402952190920784</v>
      </c>
      <c r="O95" s="92">
        <v>0.28124562965228572</v>
      </c>
      <c r="P95" s="92">
        <v>0.27427414552225138</v>
      </c>
      <c r="Q95" s="92">
        <v>0.28733481911854902</v>
      </c>
      <c r="R95" s="92">
        <v>0.28733481911854902</v>
      </c>
      <c r="S95" s="94">
        <f t="shared" si="18"/>
        <v>0.28211344545270106</v>
      </c>
      <c r="U95" t="s">
        <v>155</v>
      </c>
      <c r="V95" t="s">
        <v>156</v>
      </c>
      <c r="W95">
        <v>0.197559561696076</v>
      </c>
      <c r="X95">
        <v>0.18815196352007238</v>
      </c>
      <c r="Y95">
        <v>0.21637475804808323</v>
      </c>
      <c r="Z95">
        <v>0.2362988304916924</v>
      </c>
      <c r="AA95">
        <v>0.24755115575320155</v>
      </c>
      <c r="AB95">
        <v>0.24755115575320155</v>
      </c>
      <c r="AC95">
        <v>0.22224790421038787</v>
      </c>
      <c r="AD95">
        <v>0.26846173739536366</v>
      </c>
      <c r="AE95">
        <v>0.29402952190920784</v>
      </c>
      <c r="AF95">
        <v>0.28124562965228572</v>
      </c>
      <c r="AG95">
        <v>0.27427414552225138</v>
      </c>
      <c r="AH95">
        <v>0.28733481911854902</v>
      </c>
      <c r="AI95">
        <v>0.28733481911854902</v>
      </c>
      <c r="AJ95">
        <v>0.28211344545270106</v>
      </c>
    </row>
    <row r="96" spans="1:36" hidden="1">
      <c r="A96" s="71" t="s">
        <v>155</v>
      </c>
      <c r="B96" s="17" t="s">
        <v>156</v>
      </c>
      <c r="C96" s="89" t="s">
        <v>165</v>
      </c>
      <c r="D96" s="89" t="s">
        <v>165</v>
      </c>
      <c r="E96" s="90" t="str">
        <f>VLOOKUP(D96,'[46]Yield Cal Oracle (base) '!$D:$E,2,0)</f>
        <v>TEPSLA0G476M708RKT</v>
      </c>
      <c r="F96" s="91">
        <v>1.7725727594351921</v>
      </c>
      <c r="G96" s="92">
        <v>1.6881645327954216</v>
      </c>
      <c r="H96" s="92">
        <v>1.9413892127147341</v>
      </c>
      <c r="I96" s="92">
        <v>2.1105813759624743</v>
      </c>
      <c r="J96" s="92">
        <v>2.2110852510083063</v>
      </c>
      <c r="K96" s="92">
        <v>2.2110852510083063</v>
      </c>
      <c r="L96" s="93">
        <f t="shared" si="17"/>
        <v>1.9891463971540724</v>
      </c>
      <c r="M96" s="91">
        <v>2.3803904663503483</v>
      </c>
      <c r="N96" s="92">
        <v>2.6070943202884767</v>
      </c>
      <c r="O96" s="92">
        <v>2.4937423933194132</v>
      </c>
      <c r="P96" s="92">
        <v>2.4309875518378732</v>
      </c>
      <c r="Q96" s="92">
        <v>2.5467488638301528</v>
      </c>
      <c r="R96" s="92">
        <v>2.5467488638301528</v>
      </c>
      <c r="S96" s="94">
        <f t="shared" si="18"/>
        <v>2.5009520765760698</v>
      </c>
      <c r="U96" t="s">
        <v>155</v>
      </c>
      <c r="V96" t="s">
        <v>156</v>
      </c>
      <c r="W96">
        <v>1.7725727594351921</v>
      </c>
      <c r="X96">
        <v>1.6881645327954216</v>
      </c>
      <c r="Y96">
        <v>1.9413892127147341</v>
      </c>
      <c r="Z96">
        <v>2.1105813759624743</v>
      </c>
      <c r="AA96">
        <v>2.2110852510083063</v>
      </c>
      <c r="AB96">
        <v>2.2110852510083063</v>
      </c>
      <c r="AC96">
        <v>1.9891463971540724</v>
      </c>
      <c r="AD96">
        <v>2.3803904663503483</v>
      </c>
      <c r="AE96">
        <v>2.6070943202884767</v>
      </c>
      <c r="AF96">
        <v>2.4937423933194132</v>
      </c>
      <c r="AG96">
        <v>2.4309875518378732</v>
      </c>
      <c r="AH96">
        <v>2.5467488638301528</v>
      </c>
      <c r="AI96">
        <v>2.5467488638301528</v>
      </c>
      <c r="AJ96">
        <v>2.5009520765760698</v>
      </c>
    </row>
    <row r="97" spans="1:36" hidden="1">
      <c r="A97" s="71" t="s">
        <v>155</v>
      </c>
      <c r="B97" s="17" t="s">
        <v>156</v>
      </c>
      <c r="C97" s="89" t="s">
        <v>166</v>
      </c>
      <c r="D97" s="89" t="s">
        <v>166</v>
      </c>
      <c r="E97" s="90" t="str">
        <f>VLOOKUP(D97,'[46]Yield Cal Oracle (base) '!$D:$E,2,0)</f>
        <v>TEPSLA0J107M258R</v>
      </c>
      <c r="F97" s="91">
        <v>412.29042591603547</v>
      </c>
      <c r="G97" s="92">
        <v>392.65754849146236</v>
      </c>
      <c r="H97" s="92">
        <v>451.55618076518181</v>
      </c>
      <c r="I97" s="92">
        <v>408.50063046538202</v>
      </c>
      <c r="J97" s="92">
        <v>427.95304143992405</v>
      </c>
      <c r="K97" s="92">
        <v>427.95304143992405</v>
      </c>
      <c r="L97" s="93">
        <f t="shared" si="17"/>
        <v>420.15181141965166</v>
      </c>
      <c r="M97" s="91">
        <v>418.66377510044993</v>
      </c>
      <c r="N97" s="92">
        <v>458.53651558620703</v>
      </c>
      <c r="O97" s="92">
        <v>438.60014534332839</v>
      </c>
      <c r="P97" s="92">
        <v>427.79086976581448</v>
      </c>
      <c r="Q97" s="92">
        <v>448.1618635641866</v>
      </c>
      <c r="R97" s="92">
        <v>448.1618635641866</v>
      </c>
      <c r="S97" s="94">
        <f t="shared" si="18"/>
        <v>439.98583882069551</v>
      </c>
      <c r="U97" t="s">
        <v>155</v>
      </c>
      <c r="V97" t="s">
        <v>156</v>
      </c>
      <c r="W97">
        <v>412.29042591603547</v>
      </c>
      <c r="X97">
        <v>392.65754849146236</v>
      </c>
      <c r="Y97">
        <v>451.55618076518181</v>
      </c>
      <c r="Z97">
        <v>408.50063046538202</v>
      </c>
      <c r="AA97">
        <v>427.95304143992405</v>
      </c>
      <c r="AB97">
        <v>427.95304143992405</v>
      </c>
      <c r="AC97">
        <v>420.15181141965166</v>
      </c>
      <c r="AD97">
        <v>418.66377510044993</v>
      </c>
      <c r="AE97">
        <v>458.53651558620703</v>
      </c>
      <c r="AF97">
        <v>438.60014534332839</v>
      </c>
      <c r="AG97">
        <v>427.79086976581448</v>
      </c>
      <c r="AH97">
        <v>448.1618635641866</v>
      </c>
      <c r="AI97">
        <v>448.1618635641866</v>
      </c>
      <c r="AJ97">
        <v>439.98583882069551</v>
      </c>
    </row>
    <row r="98" spans="1:36" hidden="1">
      <c r="A98" s="71" t="s">
        <v>155</v>
      </c>
      <c r="B98" s="17" t="s">
        <v>156</v>
      </c>
      <c r="C98" s="89" t="s">
        <v>167</v>
      </c>
      <c r="D98" s="89" t="s">
        <v>167</v>
      </c>
      <c r="E98" s="90" t="str">
        <f>VLOOKUP(D98,'[46]Yield Cal Oracle (base) '!$D:$E,2,0)</f>
        <v>TEPSLA0J107M258RKT</v>
      </c>
      <c r="F98" s="91">
        <v>105.06611388766785</v>
      </c>
      <c r="G98" s="92">
        <v>100.06296560730273</v>
      </c>
      <c r="H98" s="92">
        <v>115.07241044839813</v>
      </c>
      <c r="I98" s="92">
        <v>125.40471391445182</v>
      </c>
      <c r="J98" s="92">
        <v>131.37636695799711</v>
      </c>
      <c r="K98" s="92">
        <v>131.37636695799711</v>
      </c>
      <c r="L98" s="93">
        <f t="shared" si="17"/>
        <v>118.05982296230246</v>
      </c>
      <c r="M98" s="91">
        <v>142.38528688565819</v>
      </c>
      <c r="N98" s="92">
        <v>155.945790398578</v>
      </c>
      <c r="O98" s="92">
        <v>149.16553864211807</v>
      </c>
      <c r="P98" s="92">
        <v>145.44981299896227</v>
      </c>
      <c r="Q98" s="92">
        <v>152.37599457034145</v>
      </c>
      <c r="R98" s="92">
        <v>152.37599457034145</v>
      </c>
      <c r="S98" s="94">
        <f t="shared" si="18"/>
        <v>149.61640301099987</v>
      </c>
      <c r="U98" t="s">
        <v>155</v>
      </c>
      <c r="V98" t="s">
        <v>156</v>
      </c>
      <c r="W98">
        <v>105.06611388766785</v>
      </c>
      <c r="X98">
        <v>100.06296560730273</v>
      </c>
      <c r="Y98">
        <v>115.07241044839813</v>
      </c>
      <c r="Z98">
        <v>125.40471391445182</v>
      </c>
      <c r="AA98">
        <v>131.37636695799711</v>
      </c>
      <c r="AB98">
        <v>131.37636695799711</v>
      </c>
      <c r="AC98">
        <v>118.05982296230246</v>
      </c>
      <c r="AD98">
        <v>142.38528688565819</v>
      </c>
      <c r="AE98">
        <v>155.945790398578</v>
      </c>
      <c r="AF98">
        <v>149.16553864211807</v>
      </c>
      <c r="AG98">
        <v>145.44981299896227</v>
      </c>
      <c r="AH98">
        <v>152.37599457034145</v>
      </c>
      <c r="AI98">
        <v>152.37599457034145</v>
      </c>
      <c r="AJ98">
        <v>149.61640301099987</v>
      </c>
    </row>
    <row r="99" spans="1:36" hidden="1">
      <c r="A99" s="71" t="s">
        <v>155</v>
      </c>
      <c r="B99" s="17" t="s">
        <v>156</v>
      </c>
      <c r="C99" s="89" t="s">
        <v>168</v>
      </c>
      <c r="D99" s="89" t="s">
        <v>168</v>
      </c>
      <c r="E99" s="90" t="str">
        <f>VLOOKUP(D99,'[46]Yield Cal Oracle (base) '!$D:$E,2,0)</f>
        <v>TEPSLA0J107M358R</v>
      </c>
      <c r="F99" s="91">
        <v>123.51608153444701</v>
      </c>
      <c r="G99" s="92">
        <v>117.63436336614001</v>
      </c>
      <c r="H99" s="92">
        <v>135.27951787106102</v>
      </c>
      <c r="I99" s="92">
        <v>121.99349341924031</v>
      </c>
      <c r="J99" s="92">
        <v>127.8027073915851</v>
      </c>
      <c r="K99" s="92">
        <v>127.8027073915851</v>
      </c>
      <c r="L99" s="93">
        <f t="shared" si="17"/>
        <v>125.67147849567641</v>
      </c>
      <c r="M99" s="91">
        <v>124.41637700156629</v>
      </c>
      <c r="N99" s="92">
        <v>136.26555576362023</v>
      </c>
      <c r="O99" s="92">
        <v>130.34096638259328</v>
      </c>
      <c r="P99" s="92">
        <v>126.72780468856995</v>
      </c>
      <c r="Q99" s="92">
        <v>132.76246205469232</v>
      </c>
      <c r="R99" s="92">
        <v>132.76246205469232</v>
      </c>
      <c r="S99" s="94">
        <f t="shared" si="18"/>
        <v>130.54593799095574</v>
      </c>
      <c r="U99" t="s">
        <v>155</v>
      </c>
      <c r="V99" t="s">
        <v>156</v>
      </c>
      <c r="W99">
        <v>123.51608153444701</v>
      </c>
      <c r="X99">
        <v>117.63436336614001</v>
      </c>
      <c r="Y99">
        <v>135.27951787106102</v>
      </c>
      <c r="Z99">
        <v>121.99349341924031</v>
      </c>
      <c r="AA99">
        <v>127.8027073915851</v>
      </c>
      <c r="AB99">
        <v>127.8027073915851</v>
      </c>
      <c r="AC99">
        <v>125.67147849567641</v>
      </c>
      <c r="AD99">
        <v>124.41637700156629</v>
      </c>
      <c r="AE99">
        <v>136.26555576362023</v>
      </c>
      <c r="AF99">
        <v>130.34096638259328</v>
      </c>
      <c r="AG99">
        <v>126.72780468856995</v>
      </c>
      <c r="AH99">
        <v>132.76246205469232</v>
      </c>
      <c r="AI99">
        <v>132.76246205469232</v>
      </c>
      <c r="AJ99">
        <v>130.54593799095574</v>
      </c>
    </row>
    <row r="100" spans="1:36" hidden="1">
      <c r="A100" s="71" t="s">
        <v>155</v>
      </c>
      <c r="B100" s="17" t="s">
        <v>156</v>
      </c>
      <c r="C100" s="89" t="s">
        <v>169</v>
      </c>
      <c r="D100" s="89" t="s">
        <v>169</v>
      </c>
      <c r="E100" s="90" t="str">
        <f>VLOOKUP(D100,'[46]Yield Cal Oracle (base) '!$D:$E,2,0)</f>
        <v>TEPSLA0J107M358RF</v>
      </c>
      <c r="F100" s="91">
        <v>0.9818409115893616</v>
      </c>
      <c r="G100" s="92">
        <v>0.93508658246605891</v>
      </c>
      <c r="H100" s="92">
        <v>1.0753495698359674</v>
      </c>
      <c r="I100" s="92">
        <v>0.97460356873350362</v>
      </c>
      <c r="J100" s="92">
        <v>1.0210132624827182</v>
      </c>
      <c r="K100" s="92">
        <v>1.0210132624827182</v>
      </c>
      <c r="L100" s="93">
        <f t="shared" si="17"/>
        <v>1.0014845262650545</v>
      </c>
      <c r="M100" s="91">
        <v>1.0016774212609323</v>
      </c>
      <c r="N100" s="92">
        <v>1.0970752709048304</v>
      </c>
      <c r="O100" s="92">
        <v>1.0493763460828813</v>
      </c>
      <c r="P100" s="92">
        <v>1.0253655426949688</v>
      </c>
      <c r="Q100" s="92">
        <v>1.0741924732994912</v>
      </c>
      <c r="R100" s="92">
        <v>1.0741924732994912</v>
      </c>
      <c r="S100" s="94">
        <f t="shared" si="18"/>
        <v>1.053646587923766</v>
      </c>
      <c r="U100" t="s">
        <v>155</v>
      </c>
      <c r="V100" t="s">
        <v>156</v>
      </c>
      <c r="W100">
        <v>0.9818409115893616</v>
      </c>
      <c r="X100">
        <v>0.93508658246605891</v>
      </c>
      <c r="Y100">
        <v>1.0753495698359674</v>
      </c>
      <c r="Z100">
        <v>0.97460356873350362</v>
      </c>
      <c r="AA100">
        <v>1.0210132624827182</v>
      </c>
      <c r="AB100">
        <v>1.0210132624827182</v>
      </c>
      <c r="AC100">
        <v>1.0014845262650545</v>
      </c>
      <c r="AD100">
        <v>1.0016774212609323</v>
      </c>
      <c r="AE100">
        <v>1.0970752709048304</v>
      </c>
      <c r="AF100">
        <v>1.0493763460828813</v>
      </c>
      <c r="AG100">
        <v>1.0253655426949688</v>
      </c>
      <c r="AH100">
        <v>1.0741924732994912</v>
      </c>
      <c r="AI100">
        <v>1.0741924732994912</v>
      </c>
      <c r="AJ100">
        <v>1.053646587923766</v>
      </c>
    </row>
    <row r="101" spans="1:36" hidden="1">
      <c r="A101" s="71" t="s">
        <v>155</v>
      </c>
      <c r="B101" s="17" t="s">
        <v>156</v>
      </c>
      <c r="C101" s="89" t="s">
        <v>170</v>
      </c>
      <c r="D101" s="89" t="s">
        <v>170</v>
      </c>
      <c r="E101" s="90" t="str">
        <f>VLOOKUP(D101,'[46]Yield Cal Oracle (base) '!$D:$E,2,0)</f>
        <v>TEPSLA0J107M358RKT</v>
      </c>
      <c r="F101" s="91">
        <v>6.4484426901871155</v>
      </c>
      <c r="G101" s="92">
        <v>6.1413739906543956</v>
      </c>
      <c r="H101" s="92">
        <v>7.0625800892525552</v>
      </c>
      <c r="I101" s="92">
        <v>7.5884561262099997</v>
      </c>
      <c r="J101" s="92">
        <v>7.9498111798390472</v>
      </c>
      <c r="K101" s="92">
        <v>7.9498111798390472</v>
      </c>
      <c r="L101" s="93">
        <f t="shared" si="17"/>
        <v>7.19007920933036</v>
      </c>
      <c r="M101" s="91">
        <v>8.39429012134398</v>
      </c>
      <c r="N101" s="92">
        <v>9.1937463233767414</v>
      </c>
      <c r="O101" s="92">
        <v>8.7940182223603625</v>
      </c>
      <c r="P101" s="92">
        <v>8.5638099500232396</v>
      </c>
      <c r="Q101" s="92">
        <v>8.9716104238338694</v>
      </c>
      <c r="R101" s="92">
        <v>8.9716104238338694</v>
      </c>
      <c r="S101" s="94">
        <f t="shared" si="18"/>
        <v>8.814847577462011</v>
      </c>
      <c r="U101" t="s">
        <v>155</v>
      </c>
      <c r="V101" t="s">
        <v>156</v>
      </c>
      <c r="W101">
        <v>6.4484426901871155</v>
      </c>
      <c r="X101">
        <v>6.1413739906543956</v>
      </c>
      <c r="Y101">
        <v>7.0625800892525552</v>
      </c>
      <c r="Z101">
        <v>7.5884561262099997</v>
      </c>
      <c r="AA101">
        <v>7.9498111798390472</v>
      </c>
      <c r="AB101">
        <v>7.9498111798390472</v>
      </c>
      <c r="AC101">
        <v>7.19007920933036</v>
      </c>
      <c r="AD101">
        <v>8.39429012134398</v>
      </c>
      <c r="AE101">
        <v>9.1937463233767414</v>
      </c>
      <c r="AF101">
        <v>8.7940182223603625</v>
      </c>
      <c r="AG101">
        <v>8.5638099500232396</v>
      </c>
      <c r="AH101">
        <v>8.9716104238338694</v>
      </c>
      <c r="AI101">
        <v>8.9716104238338694</v>
      </c>
      <c r="AJ101">
        <v>8.814847577462011</v>
      </c>
    </row>
    <row r="102" spans="1:36" hidden="1">
      <c r="A102" s="71" t="s">
        <v>155</v>
      </c>
      <c r="B102" s="17" t="s">
        <v>156</v>
      </c>
      <c r="C102" s="89" t="s">
        <v>171</v>
      </c>
      <c r="D102" s="89" t="s">
        <v>171</v>
      </c>
      <c r="E102" s="90" t="str">
        <f>VLOOKUP(D102,'[46]Yield Cal Oracle (base) '!$D:$E,2,0)</f>
        <v>TEPSLA0J107M35E8RLG</v>
      </c>
      <c r="F102" s="91">
        <v>86.156662722080441</v>
      </c>
      <c r="G102" s="92">
        <v>82.053964497219468</v>
      </c>
      <c r="H102" s="92">
        <v>94.362059171802372</v>
      </c>
      <c r="I102" s="92">
        <v>85.521584981811031</v>
      </c>
      <c r="J102" s="92">
        <v>89.594041409516322</v>
      </c>
      <c r="K102" s="92">
        <v>89.594041409516322</v>
      </c>
      <c r="L102" s="93">
        <f t="shared" si="17"/>
        <v>87.880392365324326</v>
      </c>
      <c r="M102" s="91">
        <v>87.897318925324456</v>
      </c>
      <c r="N102" s="92">
        <v>96.268492156307744</v>
      </c>
      <c r="O102" s="92">
        <v>92.082905540816114</v>
      </c>
      <c r="P102" s="92">
        <v>89.975954542176353</v>
      </c>
      <c r="Q102" s="92">
        <v>94.260523806089495</v>
      </c>
      <c r="R102" s="92">
        <v>94.260523806089495</v>
      </c>
      <c r="S102" s="94">
        <f t="shared" si="18"/>
        <v>92.45761979613394</v>
      </c>
      <c r="U102" t="s">
        <v>155</v>
      </c>
      <c r="V102" t="s">
        <v>156</v>
      </c>
      <c r="W102">
        <v>86.156662722080441</v>
      </c>
      <c r="X102">
        <v>82.053964497219468</v>
      </c>
      <c r="Y102">
        <v>94.362059171802372</v>
      </c>
      <c r="Z102">
        <v>85.521584981811031</v>
      </c>
      <c r="AA102">
        <v>89.594041409516322</v>
      </c>
      <c r="AB102">
        <v>89.594041409516322</v>
      </c>
      <c r="AC102">
        <v>87.880392365324326</v>
      </c>
      <c r="AD102">
        <v>87.897318925324456</v>
      </c>
      <c r="AE102">
        <v>96.268492156307744</v>
      </c>
      <c r="AF102">
        <v>92.082905540816114</v>
      </c>
      <c r="AG102">
        <v>89.975954542176353</v>
      </c>
      <c r="AH102">
        <v>94.260523806089495</v>
      </c>
      <c r="AI102">
        <v>94.260523806089495</v>
      </c>
      <c r="AJ102">
        <v>92.45761979613394</v>
      </c>
    </row>
    <row r="103" spans="1:36" hidden="1">
      <c r="A103" s="71" t="s">
        <v>155</v>
      </c>
      <c r="B103" s="17" t="s">
        <v>156</v>
      </c>
      <c r="C103" s="89" t="s">
        <v>172</v>
      </c>
      <c r="D103" s="89" t="s">
        <v>172</v>
      </c>
      <c r="E103" s="90" t="str">
        <f>VLOOKUP(D103,'[46]Yield Cal Oracle (base) '!$D:$E,2,0)</f>
        <v>TEPSLA0J107M458R</v>
      </c>
      <c r="F103" s="91">
        <v>1596.9799868646394</v>
      </c>
      <c r="G103" s="92">
        <v>1520.9333208234661</v>
      </c>
      <c r="H103" s="92">
        <v>1749.0733189469863</v>
      </c>
      <c r="I103" s="92">
        <v>1572.6077615382446</v>
      </c>
      <c r="J103" s="92">
        <v>1647.4938454210178</v>
      </c>
      <c r="K103" s="92">
        <v>1647.4938454210178</v>
      </c>
      <c r="L103" s="93">
        <f t="shared" si="17"/>
        <v>1622.4303465025621</v>
      </c>
      <c r="M103" s="91">
        <v>1596.4084282129629</v>
      </c>
      <c r="N103" s="92">
        <v>1748.4473261380069</v>
      </c>
      <c r="O103" s="92">
        <v>1672.4278771754848</v>
      </c>
      <c r="P103" s="92">
        <v>1621.1755003669905</v>
      </c>
      <c r="Q103" s="92">
        <v>1698.3743337177996</v>
      </c>
      <c r="R103" s="92">
        <v>1698.3743337177996</v>
      </c>
      <c r="S103" s="94">
        <f t="shared" si="18"/>
        <v>1672.5346332215074</v>
      </c>
      <c r="U103" t="s">
        <v>155</v>
      </c>
      <c r="V103" t="s">
        <v>156</v>
      </c>
      <c r="W103">
        <v>1596.9799868646394</v>
      </c>
      <c r="X103">
        <v>1520.9333208234661</v>
      </c>
      <c r="Y103">
        <v>1749.0733189469863</v>
      </c>
      <c r="Z103">
        <v>1572.6077615382446</v>
      </c>
      <c r="AA103">
        <v>1647.4938454210178</v>
      </c>
      <c r="AB103">
        <v>1647.4938454210178</v>
      </c>
      <c r="AC103">
        <v>1622.4303465025621</v>
      </c>
      <c r="AD103">
        <v>1596.4084282129629</v>
      </c>
      <c r="AE103">
        <v>1748.4473261380069</v>
      </c>
      <c r="AF103">
        <v>1672.4278771754848</v>
      </c>
      <c r="AG103">
        <v>1621.1755003669905</v>
      </c>
      <c r="AH103">
        <v>1698.3743337177996</v>
      </c>
      <c r="AI103">
        <v>1698.3743337177996</v>
      </c>
      <c r="AJ103">
        <v>1672.5346332215074</v>
      </c>
    </row>
    <row r="104" spans="1:36" hidden="1">
      <c r="A104" s="71" t="s">
        <v>155</v>
      </c>
      <c r="B104" s="17" t="s">
        <v>156</v>
      </c>
      <c r="C104" s="89" t="s">
        <v>173</v>
      </c>
      <c r="D104" s="89" t="s">
        <v>173</v>
      </c>
      <c r="E104" s="90" t="str">
        <f>VLOOKUP(D104,'[46]Yield Cal Oracle (base) '!$D:$E,2,0)</f>
        <v>TEPSLA0J107M458RKT</v>
      </c>
      <c r="F104" s="91">
        <v>267.39094641104481</v>
      </c>
      <c r="G104" s="92">
        <v>254.65804420099502</v>
      </c>
      <c r="H104" s="92">
        <v>292.85675083114427</v>
      </c>
      <c r="I104" s="92">
        <v>293.23038688714956</v>
      </c>
      <c r="J104" s="92">
        <v>307.19373864368049</v>
      </c>
      <c r="K104" s="92">
        <v>307.19373864368049</v>
      </c>
      <c r="L104" s="93">
        <f t="shared" si="17"/>
        <v>287.08726760294911</v>
      </c>
      <c r="M104" s="91">
        <v>330.46123130208281</v>
      </c>
      <c r="N104" s="92">
        <v>361.93372952132887</v>
      </c>
      <c r="O104" s="92">
        <v>346.1974804117059</v>
      </c>
      <c r="P104" s="92">
        <v>336.29897496544311</v>
      </c>
      <c r="Q104" s="92">
        <v>352.31321186855945</v>
      </c>
      <c r="R104" s="92">
        <v>352.31321186855945</v>
      </c>
      <c r="S104" s="94">
        <f t="shared" si="18"/>
        <v>346.58630665627993</v>
      </c>
      <c r="U104" t="s">
        <v>155</v>
      </c>
      <c r="V104" t="s">
        <v>156</v>
      </c>
      <c r="W104">
        <v>267.39094641104481</v>
      </c>
      <c r="X104">
        <v>254.65804420099502</v>
      </c>
      <c r="Y104">
        <v>292.85675083114427</v>
      </c>
      <c r="Z104">
        <v>293.23038688714956</v>
      </c>
      <c r="AA104">
        <v>307.19373864368049</v>
      </c>
      <c r="AB104">
        <v>307.19373864368049</v>
      </c>
      <c r="AC104">
        <v>287.08726760294911</v>
      </c>
      <c r="AD104">
        <v>330.46123130208281</v>
      </c>
      <c r="AE104">
        <v>361.93372952132887</v>
      </c>
      <c r="AF104">
        <v>346.1974804117059</v>
      </c>
      <c r="AG104">
        <v>336.29897496544311</v>
      </c>
      <c r="AH104">
        <v>352.31321186855945</v>
      </c>
      <c r="AI104">
        <v>352.31321186855945</v>
      </c>
      <c r="AJ104">
        <v>346.58630665627993</v>
      </c>
    </row>
    <row r="105" spans="1:36" hidden="1">
      <c r="A105" s="71" t="s">
        <v>155</v>
      </c>
      <c r="B105" s="17" t="s">
        <v>156</v>
      </c>
      <c r="C105" s="72" t="s">
        <v>174</v>
      </c>
      <c r="D105" s="72" t="s">
        <v>174</v>
      </c>
      <c r="E105" s="66" t="e">
        <f>VLOOKUP(D105,'[46]Yield Cal Oracle (base) '!$D:$E,2,0)</f>
        <v>#N/A</v>
      </c>
      <c r="F105" s="91">
        <v>2.5515045381813453</v>
      </c>
      <c r="G105" s="92">
        <v>2.4300043220774716</v>
      </c>
      <c r="H105" s="92">
        <v>2.7945049703890925</v>
      </c>
      <c r="I105" s="92">
        <v>2.5142175976937811</v>
      </c>
      <c r="J105" s="92">
        <v>2.6339422452030083</v>
      </c>
      <c r="K105" s="92">
        <v>2.6339422452030083</v>
      </c>
      <c r="L105" s="93">
        <f t="shared" si="17"/>
        <v>2.593019319791285</v>
      </c>
      <c r="M105" s="91">
        <v>2.5548981713466761</v>
      </c>
      <c r="N105" s="92">
        <v>2.798221806713026</v>
      </c>
      <c r="O105" s="92">
        <v>2.676559989029851</v>
      </c>
      <c r="P105" s="92">
        <v>2.5962737219518237</v>
      </c>
      <c r="Q105" s="92">
        <v>2.7199058039495294</v>
      </c>
      <c r="R105" s="92">
        <v>2.7199058039495294</v>
      </c>
      <c r="S105" s="94">
        <f t="shared" si="18"/>
        <v>2.6776275494900728</v>
      </c>
      <c r="U105" t="s">
        <v>155</v>
      </c>
      <c r="V105" t="s">
        <v>156</v>
      </c>
      <c r="W105">
        <v>2.5515045381813453</v>
      </c>
      <c r="X105">
        <v>2.4300043220774716</v>
      </c>
      <c r="Y105">
        <v>2.7945049703890925</v>
      </c>
      <c r="Z105">
        <v>2.5142175976937811</v>
      </c>
      <c r="AA105">
        <v>2.6339422452030083</v>
      </c>
      <c r="AB105">
        <v>2.6339422452030083</v>
      </c>
      <c r="AC105">
        <v>2.593019319791285</v>
      </c>
      <c r="AD105">
        <v>2.5548981713466761</v>
      </c>
      <c r="AE105">
        <v>2.798221806713026</v>
      </c>
      <c r="AF105">
        <v>2.676559989029851</v>
      </c>
      <c r="AG105">
        <v>2.5962737219518237</v>
      </c>
      <c r="AH105">
        <v>2.7199058039495294</v>
      </c>
      <c r="AI105">
        <v>2.7199058039495294</v>
      </c>
      <c r="AJ105">
        <v>2.6776275494900728</v>
      </c>
    </row>
    <row r="106" spans="1:36" hidden="1">
      <c r="A106" s="71" t="s">
        <v>155</v>
      </c>
      <c r="B106" s="17" t="s">
        <v>156</v>
      </c>
      <c r="C106" s="89" t="s">
        <v>175</v>
      </c>
      <c r="D106" s="89" t="s">
        <v>175</v>
      </c>
      <c r="E106" s="90" t="str">
        <f>VLOOKUP(D106,'[46]Yield Cal Oracle (base) '!$D:$E,2,0)</f>
        <v>TEPSLA0J107M708R</v>
      </c>
      <c r="F106" s="91">
        <v>0.98184091158936182</v>
      </c>
      <c r="G106" s="92">
        <v>0.9350865824660588</v>
      </c>
      <c r="H106" s="92">
        <v>1.0753495698359676</v>
      </c>
      <c r="I106" s="92">
        <v>0.97460356873350373</v>
      </c>
      <c r="J106" s="92">
        <v>1.0210132624827182</v>
      </c>
      <c r="K106" s="92">
        <v>1.0210132624827182</v>
      </c>
      <c r="L106" s="93">
        <f t="shared" si="17"/>
        <v>1.0014845262650547</v>
      </c>
      <c r="M106" s="91">
        <v>1.0016774212609323</v>
      </c>
      <c r="N106" s="92">
        <v>1.0970752709048306</v>
      </c>
      <c r="O106" s="92">
        <v>1.0493763460828816</v>
      </c>
      <c r="P106" s="92">
        <v>1.025365542694969</v>
      </c>
      <c r="Q106" s="92">
        <v>1.0741924732994914</v>
      </c>
      <c r="R106" s="92">
        <v>1.0741924732994914</v>
      </c>
      <c r="S106" s="94">
        <f t="shared" si="18"/>
        <v>1.053646587923766</v>
      </c>
      <c r="U106" t="s">
        <v>155</v>
      </c>
      <c r="V106" t="s">
        <v>156</v>
      </c>
      <c r="W106">
        <v>0.98184091158936182</v>
      </c>
      <c r="X106">
        <v>0.9350865824660588</v>
      </c>
      <c r="Y106">
        <v>1.0753495698359676</v>
      </c>
      <c r="Z106">
        <v>0.97460356873350373</v>
      </c>
      <c r="AA106">
        <v>1.0210132624827182</v>
      </c>
      <c r="AB106">
        <v>1.0210132624827182</v>
      </c>
      <c r="AC106">
        <v>1.0014845262650547</v>
      </c>
      <c r="AD106">
        <v>1.0016774212609323</v>
      </c>
      <c r="AE106">
        <v>1.0970752709048306</v>
      </c>
      <c r="AF106">
        <v>1.0493763460828816</v>
      </c>
      <c r="AG106">
        <v>1.025365542694969</v>
      </c>
      <c r="AH106">
        <v>1.0741924732994914</v>
      </c>
      <c r="AI106">
        <v>1.0741924732994914</v>
      </c>
      <c r="AJ106">
        <v>1.053646587923766</v>
      </c>
    </row>
    <row r="107" spans="1:36" hidden="1">
      <c r="A107" s="71" t="s">
        <v>155</v>
      </c>
      <c r="B107" s="17" t="s">
        <v>156</v>
      </c>
      <c r="C107" s="89" t="s">
        <v>176</v>
      </c>
      <c r="D107" s="89" t="s">
        <v>176</v>
      </c>
      <c r="E107" s="90" t="str">
        <f>VLOOKUP(D107,'[46]Yield Cal Oracle (base) '!$D:$E,2,0)</f>
        <v>TEPSLA0J107M8RKT</v>
      </c>
      <c r="F107" s="91">
        <v>39.635279326405623</v>
      </c>
      <c r="G107" s="92">
        <v>37.747885072767261</v>
      </c>
      <c r="H107" s="92">
        <v>43.410067833682355</v>
      </c>
      <c r="I107" s="92">
        <v>45.348511406407901</v>
      </c>
      <c r="J107" s="92">
        <v>47.507964330522576</v>
      </c>
      <c r="K107" s="92">
        <v>47.507964330522576</v>
      </c>
      <c r="L107" s="93">
        <f t="shared" si="17"/>
        <v>43.526278716718053</v>
      </c>
      <c r="M107" s="91">
        <v>48.567220173480834</v>
      </c>
      <c r="N107" s="92">
        <v>53.19266971381235</v>
      </c>
      <c r="O107" s="92">
        <v>50.879944943646578</v>
      </c>
      <c r="P107" s="92">
        <v>49.432208857230371</v>
      </c>
      <c r="Q107" s="92">
        <v>51.786123564717521</v>
      </c>
      <c r="R107" s="92">
        <v>51.786123564717521</v>
      </c>
      <c r="S107" s="94">
        <f t="shared" si="18"/>
        <v>50.940715136267528</v>
      </c>
      <c r="U107" t="s">
        <v>155</v>
      </c>
      <c r="V107" t="s">
        <v>156</v>
      </c>
      <c r="W107">
        <v>39.635279326405623</v>
      </c>
      <c r="X107">
        <v>37.747885072767261</v>
      </c>
      <c r="Y107">
        <v>43.410067833682355</v>
      </c>
      <c r="Z107">
        <v>45.348511406407901</v>
      </c>
      <c r="AA107">
        <v>47.507964330522576</v>
      </c>
      <c r="AB107">
        <v>47.507964330522576</v>
      </c>
      <c r="AC107">
        <v>43.526278716718053</v>
      </c>
      <c r="AD107">
        <v>48.567220173480834</v>
      </c>
      <c r="AE107">
        <v>53.19266971381235</v>
      </c>
      <c r="AF107">
        <v>50.879944943646578</v>
      </c>
      <c r="AG107">
        <v>49.432208857230371</v>
      </c>
      <c r="AH107">
        <v>51.786123564717521</v>
      </c>
      <c r="AI107">
        <v>51.786123564717521</v>
      </c>
      <c r="AJ107">
        <v>50.940715136267528</v>
      </c>
    </row>
    <row r="108" spans="1:36" hidden="1">
      <c r="A108" s="71" t="s">
        <v>155</v>
      </c>
      <c r="B108" s="17" t="s">
        <v>156</v>
      </c>
      <c r="C108" s="89" t="s">
        <v>177</v>
      </c>
      <c r="D108" s="89" t="s">
        <v>177</v>
      </c>
      <c r="E108" s="90" t="str">
        <f>VLOOKUP(D108,'[46]Yield Cal Oracle (base) '!$D:$E,2,0)</f>
        <v>TEPSLA0J226M1008RKT</v>
      </c>
      <c r="F108" s="91">
        <v>3.1505714328337899</v>
      </c>
      <c r="G108" s="92">
        <v>3.0005442217464666</v>
      </c>
      <c r="H108" s="92">
        <v>3.4506258550084365</v>
      </c>
      <c r="I108" s="92">
        <v>3.6469875229585194</v>
      </c>
      <c r="J108" s="92">
        <v>3.820653595480354</v>
      </c>
      <c r="K108" s="92">
        <v>3.820653595480354</v>
      </c>
      <c r="L108" s="93">
        <f t="shared" si="17"/>
        <v>3.4816727039179871</v>
      </c>
      <c r="M108" s="91">
        <v>3.9568859658155575</v>
      </c>
      <c r="N108" s="92">
        <v>4.333732248274182</v>
      </c>
      <c r="O108" s="92">
        <v>4.14530910704487</v>
      </c>
      <c r="P108" s="92">
        <v>4.0763608518379009</v>
      </c>
      <c r="Q108" s="92">
        <v>4.270473273353991</v>
      </c>
      <c r="R108" s="92">
        <v>4.270473273353991</v>
      </c>
      <c r="S108" s="94">
        <f t="shared" si="18"/>
        <v>4.1755391199467491</v>
      </c>
      <c r="U108" t="s">
        <v>155</v>
      </c>
      <c r="V108" t="s">
        <v>156</v>
      </c>
      <c r="W108">
        <v>3.1505714328337899</v>
      </c>
      <c r="X108">
        <v>3.0005442217464666</v>
      </c>
      <c r="Y108">
        <v>3.4506258550084365</v>
      </c>
      <c r="Z108">
        <v>3.6469875229585194</v>
      </c>
      <c r="AA108">
        <v>3.820653595480354</v>
      </c>
      <c r="AB108">
        <v>3.820653595480354</v>
      </c>
      <c r="AC108">
        <v>3.4816727039179871</v>
      </c>
      <c r="AD108">
        <v>3.9568859658155575</v>
      </c>
      <c r="AE108">
        <v>4.333732248274182</v>
      </c>
      <c r="AF108">
        <v>4.14530910704487</v>
      </c>
      <c r="AG108">
        <v>4.0763608518379009</v>
      </c>
      <c r="AH108">
        <v>4.270473273353991</v>
      </c>
      <c r="AI108">
        <v>4.270473273353991</v>
      </c>
      <c r="AJ108">
        <v>4.1755391199467491</v>
      </c>
    </row>
    <row r="109" spans="1:36" hidden="1">
      <c r="A109" s="71" t="s">
        <v>155</v>
      </c>
      <c r="B109" s="17" t="s">
        <v>156</v>
      </c>
      <c r="C109" s="89" t="s">
        <v>178</v>
      </c>
      <c r="D109" s="89" t="s">
        <v>178</v>
      </c>
      <c r="E109" s="90" t="str">
        <f>VLOOKUP(D109,'[46]Yield Cal Oracle (base) '!$D:$E,2,0)</f>
        <v>TEPSLA0J226M8R</v>
      </c>
      <c r="F109" s="91">
        <v>331.09740016790067</v>
      </c>
      <c r="G109" s="92">
        <v>315.33085730276252</v>
      </c>
      <c r="H109" s="92">
        <v>362.63048589817691</v>
      </c>
      <c r="I109" s="92">
        <v>326.03506561922273</v>
      </c>
      <c r="J109" s="92">
        <v>341.56054493442389</v>
      </c>
      <c r="K109" s="92">
        <v>341.56054493442389</v>
      </c>
      <c r="L109" s="93">
        <f t="shared" si="17"/>
        <v>336.36914980948512</v>
      </c>
      <c r="M109" s="91">
        <v>330.95464170950464</v>
      </c>
      <c r="N109" s="92">
        <v>362.47413139612411</v>
      </c>
      <c r="O109" s="92">
        <v>346.71438655281435</v>
      </c>
      <c r="P109" s="92">
        <v>336.07936238023268</v>
      </c>
      <c r="Q109" s="92">
        <v>352.08314154119614</v>
      </c>
      <c r="R109" s="92">
        <v>352.08314154119614</v>
      </c>
      <c r="S109" s="94">
        <f t="shared" si="18"/>
        <v>346.73146752017806</v>
      </c>
      <c r="U109" t="s">
        <v>155</v>
      </c>
      <c r="V109" t="s">
        <v>156</v>
      </c>
      <c r="W109">
        <v>331.09740016790067</v>
      </c>
      <c r="X109">
        <v>315.33085730276252</v>
      </c>
      <c r="Y109">
        <v>362.63048589817691</v>
      </c>
      <c r="Z109">
        <v>326.03506561922273</v>
      </c>
      <c r="AA109">
        <v>341.56054493442389</v>
      </c>
      <c r="AB109">
        <v>341.56054493442389</v>
      </c>
      <c r="AC109">
        <v>336.36914980948512</v>
      </c>
      <c r="AD109">
        <v>330.95464170950464</v>
      </c>
      <c r="AE109">
        <v>362.47413139612411</v>
      </c>
      <c r="AF109">
        <v>346.71438655281435</v>
      </c>
      <c r="AG109">
        <v>336.07936238023268</v>
      </c>
      <c r="AH109">
        <v>352.08314154119614</v>
      </c>
      <c r="AI109">
        <v>352.08314154119614</v>
      </c>
      <c r="AJ109">
        <v>346.73146752017806</v>
      </c>
    </row>
    <row r="110" spans="1:36" hidden="1">
      <c r="A110" s="71" t="s">
        <v>155</v>
      </c>
      <c r="B110" s="17" t="s">
        <v>156</v>
      </c>
      <c r="C110" s="89" t="s">
        <v>179</v>
      </c>
      <c r="D110" s="89" t="s">
        <v>179</v>
      </c>
      <c r="E110" s="90" t="str">
        <f>VLOOKUP(D110,'[46]Yield Cal Oracle (base) '!$D:$E,2,0)</f>
        <v>TEPSLA0J226M8RF</v>
      </c>
      <c r="F110" s="91">
        <v>2.7000625068707449</v>
      </c>
      <c r="G110" s="92">
        <v>2.5714881017816618</v>
      </c>
      <c r="H110" s="92">
        <v>2.9572113170489112</v>
      </c>
      <c r="I110" s="92">
        <v>2.6801598140171352</v>
      </c>
      <c r="J110" s="92">
        <v>2.807786471827475</v>
      </c>
      <c r="K110" s="92">
        <v>2.807786471827475</v>
      </c>
      <c r="L110" s="93">
        <f t="shared" si="17"/>
        <v>2.7540824472289001</v>
      </c>
      <c r="M110" s="91">
        <v>2.7546129084675641</v>
      </c>
      <c r="N110" s="92">
        <v>3.0169569949882842</v>
      </c>
      <c r="O110" s="92">
        <v>2.8857849517279242</v>
      </c>
      <c r="P110" s="92">
        <v>2.8197552424111647</v>
      </c>
      <c r="Q110" s="92">
        <v>2.9540293015736006</v>
      </c>
      <c r="R110" s="92">
        <v>2.9540293015736006</v>
      </c>
      <c r="S110" s="94">
        <f t="shared" si="18"/>
        <v>2.8975281167903564</v>
      </c>
      <c r="U110" t="s">
        <v>155</v>
      </c>
      <c r="V110" t="s">
        <v>156</v>
      </c>
      <c r="W110">
        <v>2.7000625068707449</v>
      </c>
      <c r="X110">
        <v>2.5714881017816618</v>
      </c>
      <c r="Y110">
        <v>2.9572113170489112</v>
      </c>
      <c r="Z110">
        <v>2.6801598140171352</v>
      </c>
      <c r="AA110">
        <v>2.807786471827475</v>
      </c>
      <c r="AB110">
        <v>2.807786471827475</v>
      </c>
      <c r="AC110">
        <v>2.7540824472289001</v>
      </c>
      <c r="AD110">
        <v>2.7546129084675641</v>
      </c>
      <c r="AE110">
        <v>3.0169569949882842</v>
      </c>
      <c r="AF110">
        <v>2.8857849517279242</v>
      </c>
      <c r="AG110">
        <v>2.8197552424111647</v>
      </c>
      <c r="AH110">
        <v>2.9540293015736006</v>
      </c>
      <c r="AI110">
        <v>2.9540293015736006</v>
      </c>
      <c r="AJ110">
        <v>2.8975281167903564</v>
      </c>
    </row>
    <row r="111" spans="1:36" hidden="1">
      <c r="A111" s="71" t="s">
        <v>155</v>
      </c>
      <c r="B111" s="17" t="s">
        <v>156</v>
      </c>
      <c r="C111" s="89" t="s">
        <v>180</v>
      </c>
      <c r="D111" s="89" t="s">
        <v>180</v>
      </c>
      <c r="E111" s="90" t="str">
        <f>VLOOKUP(D111,'[46]Yield Cal Oracle (base) '!$D:$E,2,0)</f>
        <v>TEPSLA0J226M908RKT</v>
      </c>
      <c r="F111" s="91">
        <v>6.076443024350251</v>
      </c>
      <c r="G111" s="92">
        <v>5.7870885946192869</v>
      </c>
      <c r="H111" s="92">
        <v>6.6551518838121799</v>
      </c>
      <c r="I111" s="92">
        <v>6.9286643887278148</v>
      </c>
      <c r="J111" s="92">
        <v>7.2586007881910453</v>
      </c>
      <c r="K111" s="92">
        <v>7.2586007881910453</v>
      </c>
      <c r="L111" s="93">
        <f t="shared" si="17"/>
        <v>6.660758244648604</v>
      </c>
      <c r="M111" s="91">
        <v>7.3649501852707564</v>
      </c>
      <c r="N111" s="92">
        <v>8.0663740124394003</v>
      </c>
      <c r="O111" s="92">
        <v>7.7156620988550788</v>
      </c>
      <c r="P111" s="92">
        <v>7.4932754364608112</v>
      </c>
      <c r="Q111" s="92">
        <v>7.8500980762922774</v>
      </c>
      <c r="R111" s="92">
        <v>7.8500980762922774</v>
      </c>
      <c r="S111" s="94">
        <f t="shared" si="18"/>
        <v>7.7234096476017671</v>
      </c>
      <c r="U111" t="s">
        <v>155</v>
      </c>
      <c r="V111" t="s">
        <v>156</v>
      </c>
      <c r="W111">
        <v>6.076443024350251</v>
      </c>
      <c r="X111">
        <v>5.7870885946192869</v>
      </c>
      <c r="Y111">
        <v>6.6551518838121799</v>
      </c>
      <c r="Z111">
        <v>6.9286643887278148</v>
      </c>
      <c r="AA111">
        <v>7.2586007881910453</v>
      </c>
      <c r="AB111">
        <v>7.2586007881910453</v>
      </c>
      <c r="AC111">
        <v>6.660758244648604</v>
      </c>
      <c r="AD111">
        <v>7.3649501852707564</v>
      </c>
      <c r="AE111">
        <v>8.0663740124394003</v>
      </c>
      <c r="AF111">
        <v>7.7156620988550788</v>
      </c>
      <c r="AG111">
        <v>7.4932754364608112</v>
      </c>
      <c r="AH111">
        <v>7.8500980762922774</v>
      </c>
      <c r="AI111">
        <v>7.8500980762922774</v>
      </c>
      <c r="AJ111">
        <v>7.7234096476017671</v>
      </c>
    </row>
    <row r="112" spans="1:36" hidden="1">
      <c r="A112" s="71" t="s">
        <v>155</v>
      </c>
      <c r="B112" s="17" t="s">
        <v>156</v>
      </c>
      <c r="C112" s="89" t="s">
        <v>181</v>
      </c>
      <c r="D112" s="89" t="s">
        <v>181</v>
      </c>
      <c r="E112" s="90" t="str">
        <f>VLOOKUP(D112,'[46]Yield Cal Oracle (base) '!$D:$E,2,0)</f>
        <v>TEPSLA0J336M708RKT</v>
      </c>
      <c r="F112" s="91">
        <v>79.36613383314922</v>
      </c>
      <c r="G112" s="92">
        <v>75.586794126808769</v>
      </c>
      <c r="H112" s="92">
        <v>86.924813245830094</v>
      </c>
      <c r="I112" s="92">
        <v>85.30962205842448</v>
      </c>
      <c r="J112" s="92">
        <v>89.371985013587562</v>
      </c>
      <c r="K112" s="92">
        <v>89.371985013587562</v>
      </c>
      <c r="L112" s="93">
        <f t="shared" si="17"/>
        <v>84.321888881897948</v>
      </c>
      <c r="M112" s="91">
        <v>96.877271139474161</v>
      </c>
      <c r="N112" s="92">
        <v>106.1036779146622</v>
      </c>
      <c r="O112" s="92">
        <v>101.49047452706817</v>
      </c>
      <c r="P112" s="92">
        <v>98.330176082420664</v>
      </c>
      <c r="Q112" s="92">
        <v>103.01256541967878</v>
      </c>
      <c r="R112" s="92">
        <v>103.01256541967878</v>
      </c>
      <c r="S112" s="94">
        <f t="shared" si="18"/>
        <v>101.47112175049712</v>
      </c>
      <c r="U112" t="s">
        <v>155</v>
      </c>
      <c r="V112" t="s">
        <v>156</v>
      </c>
      <c r="W112">
        <v>79.36613383314922</v>
      </c>
      <c r="X112">
        <v>75.586794126808769</v>
      </c>
      <c r="Y112">
        <v>86.924813245830094</v>
      </c>
      <c r="Z112">
        <v>85.30962205842448</v>
      </c>
      <c r="AA112">
        <v>89.371985013587562</v>
      </c>
      <c r="AB112">
        <v>89.371985013587562</v>
      </c>
      <c r="AC112">
        <v>84.321888881897948</v>
      </c>
      <c r="AD112">
        <v>96.877271139474161</v>
      </c>
      <c r="AE112">
        <v>106.1036779146622</v>
      </c>
      <c r="AF112">
        <v>101.49047452706817</v>
      </c>
      <c r="AG112">
        <v>98.330176082420664</v>
      </c>
      <c r="AH112">
        <v>103.01256541967878</v>
      </c>
      <c r="AI112">
        <v>103.01256541967878</v>
      </c>
      <c r="AJ112">
        <v>101.47112175049712</v>
      </c>
    </row>
    <row r="113" spans="1:36" hidden="1">
      <c r="A113" s="71" t="s">
        <v>155</v>
      </c>
      <c r="B113" s="17" t="s">
        <v>156</v>
      </c>
      <c r="C113" s="89" t="s">
        <v>182</v>
      </c>
      <c r="D113" s="89" t="s">
        <v>182</v>
      </c>
      <c r="E113" s="90" t="str">
        <f>VLOOKUP(D113,'[46]Yield Cal Oracle (base) '!$D:$E,2,0)</f>
        <v>TEPSLA0J336M808RKT</v>
      </c>
      <c r="F113" s="91">
        <v>6.3614897273313424</v>
      </c>
      <c r="G113" s="92">
        <v>6.0585616450774689</v>
      </c>
      <c r="H113" s="92">
        <v>6.9673458918390896</v>
      </c>
      <c r="I113" s="92">
        <v>7.3890440569473634</v>
      </c>
      <c r="J113" s="92">
        <v>7.7409032977543797</v>
      </c>
      <c r="K113" s="92">
        <v>7.7409032977543797</v>
      </c>
      <c r="L113" s="93">
        <f t="shared" si="17"/>
        <v>7.04304131945067</v>
      </c>
      <c r="M113" s="91">
        <v>8.0332760607502163</v>
      </c>
      <c r="N113" s="92">
        <v>8.7983499712978563</v>
      </c>
      <c r="O113" s="92">
        <v>8.4158130160240354</v>
      </c>
      <c r="P113" s="92">
        <v>8.1722056921545931</v>
      </c>
      <c r="Q113" s="92">
        <v>8.5613583441619543</v>
      </c>
      <c r="R113" s="92">
        <v>8.5613583441619543</v>
      </c>
      <c r="S113" s="94">
        <f t="shared" si="18"/>
        <v>8.4237269047584338</v>
      </c>
      <c r="U113" t="s">
        <v>155</v>
      </c>
      <c r="V113" t="s">
        <v>156</v>
      </c>
      <c r="W113">
        <v>6.3614897273313424</v>
      </c>
      <c r="X113">
        <v>6.0585616450774689</v>
      </c>
      <c r="Y113">
        <v>6.9673458918390896</v>
      </c>
      <c r="Z113">
        <v>7.3890440569473634</v>
      </c>
      <c r="AA113">
        <v>7.7409032977543797</v>
      </c>
      <c r="AB113">
        <v>7.7409032977543797</v>
      </c>
      <c r="AC113">
        <v>7.04304131945067</v>
      </c>
      <c r="AD113">
        <v>8.0332760607502163</v>
      </c>
      <c r="AE113">
        <v>8.7983499712978563</v>
      </c>
      <c r="AF113">
        <v>8.4158130160240354</v>
      </c>
      <c r="AG113">
        <v>8.1722056921545931</v>
      </c>
      <c r="AH113">
        <v>8.5613583441619543</v>
      </c>
      <c r="AI113">
        <v>8.5613583441619543</v>
      </c>
      <c r="AJ113">
        <v>8.4237269047584338</v>
      </c>
    </row>
    <row r="114" spans="1:36" hidden="1">
      <c r="A114" s="71" t="s">
        <v>155</v>
      </c>
      <c r="B114" s="17" t="s">
        <v>156</v>
      </c>
      <c r="C114" s="89" t="s">
        <v>183</v>
      </c>
      <c r="D114" s="89" t="s">
        <v>183</v>
      </c>
      <c r="E114" s="90" t="str">
        <f>VLOOKUP(D114,'[46]Yield Cal Oracle (base) '!$D:$E,2,0)</f>
        <v>TEPSLA0J476M708R</v>
      </c>
      <c r="F114" s="91">
        <v>69.288598648399699</v>
      </c>
      <c r="G114" s="92">
        <v>65.98914156990449</v>
      </c>
      <c r="H114" s="92">
        <v>75.887512805390159</v>
      </c>
      <c r="I114" s="92">
        <v>68.442921461914182</v>
      </c>
      <c r="J114" s="92">
        <v>71.702108198195816</v>
      </c>
      <c r="K114" s="92">
        <v>71.702108198195816</v>
      </c>
      <c r="L114" s="93">
        <f t="shared" si="17"/>
        <v>70.50206514700001</v>
      </c>
      <c r="M114" s="91">
        <v>69.815646335875996</v>
      </c>
      <c r="N114" s="92">
        <v>76.464755510721332</v>
      </c>
      <c r="O114" s="92">
        <v>73.140200923298664</v>
      </c>
      <c r="P114" s="92">
        <v>71.121508790499348</v>
      </c>
      <c r="Q114" s="92">
        <v>74.508247304332642</v>
      </c>
      <c r="R114" s="92">
        <v>74.508247304332642</v>
      </c>
      <c r="S114" s="94">
        <f t="shared" si="18"/>
        <v>73.259767694843447</v>
      </c>
      <c r="U114" t="s">
        <v>155</v>
      </c>
      <c r="V114" t="s">
        <v>156</v>
      </c>
      <c r="W114">
        <v>69.288598648399699</v>
      </c>
      <c r="X114">
        <v>65.98914156990449</v>
      </c>
      <c r="Y114">
        <v>75.887512805390159</v>
      </c>
      <c r="Z114">
        <v>68.442921461914182</v>
      </c>
      <c r="AA114">
        <v>71.702108198195816</v>
      </c>
      <c r="AB114">
        <v>71.702108198195816</v>
      </c>
      <c r="AC114">
        <v>70.50206514700001</v>
      </c>
      <c r="AD114">
        <v>69.815646335875996</v>
      </c>
      <c r="AE114">
        <v>76.464755510721332</v>
      </c>
      <c r="AF114">
        <v>73.140200923298664</v>
      </c>
      <c r="AG114">
        <v>71.121508790499348</v>
      </c>
      <c r="AH114">
        <v>74.508247304332642</v>
      </c>
      <c r="AI114">
        <v>74.508247304332642</v>
      </c>
      <c r="AJ114">
        <v>73.259767694843447</v>
      </c>
    </row>
    <row r="115" spans="1:36" hidden="1">
      <c r="A115" s="71" t="s">
        <v>155</v>
      </c>
      <c r="B115" s="17" t="s">
        <v>156</v>
      </c>
      <c r="C115" s="89" t="s">
        <v>184</v>
      </c>
      <c r="D115" s="89" t="s">
        <v>184</v>
      </c>
      <c r="E115" s="90" t="str">
        <f>VLOOKUP(D115,'[46]Yield Cal Oracle (base) '!$D:$E,2,0)</f>
        <v>TEPSLA0J476M708RF</v>
      </c>
      <c r="F115" s="91">
        <v>196.36818231787234</v>
      </c>
      <c r="G115" s="92">
        <v>187.01731649321172</v>
      </c>
      <c r="H115" s="92">
        <v>215.06991396719349</v>
      </c>
      <c r="I115" s="92">
        <v>194.9207137467007</v>
      </c>
      <c r="J115" s="92">
        <v>204.20265249654358</v>
      </c>
      <c r="K115" s="92">
        <v>204.20265249654358</v>
      </c>
      <c r="L115" s="93">
        <f t="shared" si="17"/>
        <v>200.29690525301089</v>
      </c>
      <c r="M115" s="91">
        <v>200.33548425218635</v>
      </c>
      <c r="N115" s="92">
        <v>219.415054180966</v>
      </c>
      <c r="O115" s="92">
        <v>209.87526921657619</v>
      </c>
      <c r="P115" s="92">
        <v>205.07310853899372</v>
      </c>
      <c r="Q115" s="92">
        <v>214.8384946598982</v>
      </c>
      <c r="R115" s="92">
        <v>214.8384946598982</v>
      </c>
      <c r="S115" s="94">
        <f t="shared" si="18"/>
        <v>210.72931758475315</v>
      </c>
      <c r="U115" t="s">
        <v>155</v>
      </c>
      <c r="V115" t="s">
        <v>156</v>
      </c>
      <c r="W115">
        <v>196.36818231787234</v>
      </c>
      <c r="X115">
        <v>187.01731649321172</v>
      </c>
      <c r="Y115">
        <v>215.06991396719349</v>
      </c>
      <c r="Z115">
        <v>194.9207137467007</v>
      </c>
      <c r="AA115">
        <v>204.20265249654358</v>
      </c>
      <c r="AB115">
        <v>204.20265249654358</v>
      </c>
      <c r="AC115">
        <v>200.29690525301089</v>
      </c>
      <c r="AD115">
        <v>200.33548425218635</v>
      </c>
      <c r="AE115">
        <v>219.415054180966</v>
      </c>
      <c r="AF115">
        <v>209.87526921657619</v>
      </c>
      <c r="AG115">
        <v>205.07310853899372</v>
      </c>
      <c r="AH115">
        <v>214.8384946598982</v>
      </c>
      <c r="AI115">
        <v>214.8384946598982</v>
      </c>
      <c r="AJ115">
        <v>210.72931758475315</v>
      </c>
    </row>
    <row r="116" spans="1:36" hidden="1">
      <c r="A116" s="71" t="s">
        <v>155</v>
      </c>
      <c r="B116" s="17" t="s">
        <v>156</v>
      </c>
      <c r="C116" s="89" t="s">
        <v>185</v>
      </c>
      <c r="D116" s="89" t="s">
        <v>185</v>
      </c>
      <c r="E116" s="90" t="str">
        <f>VLOOKUP(D116,'[46]Yield Cal Oracle (base) '!$D:$E,2,0)</f>
        <v>TEPSLA0J476M8R</v>
      </c>
      <c r="F116" s="91">
        <v>5.1030090763626896</v>
      </c>
      <c r="G116" s="92">
        <v>4.8600086441549433</v>
      </c>
      <c r="H116" s="92">
        <v>5.5890099407781841</v>
      </c>
      <c r="I116" s="92">
        <v>5.0284351953875612</v>
      </c>
      <c r="J116" s="92">
        <v>5.2678844904060158</v>
      </c>
      <c r="K116" s="92">
        <v>5.2678844904060158</v>
      </c>
      <c r="L116" s="93">
        <f t="shared" si="17"/>
        <v>5.1860386395825682</v>
      </c>
      <c r="M116" s="91">
        <v>5.1097963426933504</v>
      </c>
      <c r="N116" s="92">
        <v>5.5964436134260493</v>
      </c>
      <c r="O116" s="92">
        <v>5.3531199780597003</v>
      </c>
      <c r="P116" s="92">
        <v>5.1925474439036483</v>
      </c>
      <c r="Q116" s="92">
        <v>5.4398116078990588</v>
      </c>
      <c r="R116" s="92">
        <v>5.4398116078990588</v>
      </c>
      <c r="S116" s="94">
        <f t="shared" si="18"/>
        <v>5.3552550989801446</v>
      </c>
      <c r="U116" t="s">
        <v>155</v>
      </c>
      <c r="V116" t="s">
        <v>156</v>
      </c>
      <c r="W116">
        <v>5.1030090763626896</v>
      </c>
      <c r="X116">
        <v>4.8600086441549433</v>
      </c>
      <c r="Y116">
        <v>5.5890099407781841</v>
      </c>
      <c r="Z116">
        <v>5.0284351953875612</v>
      </c>
      <c r="AA116">
        <v>5.2678844904060158</v>
      </c>
      <c r="AB116">
        <v>5.2678844904060158</v>
      </c>
      <c r="AC116">
        <v>5.1860386395825682</v>
      </c>
      <c r="AD116">
        <v>5.1097963426933504</v>
      </c>
      <c r="AE116">
        <v>5.5964436134260493</v>
      </c>
      <c r="AF116">
        <v>5.3531199780597003</v>
      </c>
      <c r="AG116">
        <v>5.1925474439036483</v>
      </c>
      <c r="AH116">
        <v>5.4398116078990588</v>
      </c>
      <c r="AI116">
        <v>5.4398116078990588</v>
      </c>
      <c r="AJ116">
        <v>5.3552550989801446</v>
      </c>
    </row>
    <row r="117" spans="1:36" hidden="1">
      <c r="A117" s="71" t="s">
        <v>155</v>
      </c>
      <c r="B117" s="17" t="s">
        <v>156</v>
      </c>
      <c r="C117" s="89" t="s">
        <v>186</v>
      </c>
      <c r="D117" s="89" t="s">
        <v>186</v>
      </c>
      <c r="E117" s="90" t="str">
        <f>VLOOKUP(D117,'[46]Yield Cal Oracle (base) '!$D:$E,2,0)</f>
        <v>TEPSLA0J476M8RKT</v>
      </c>
      <c r="F117" s="91">
        <v>16.393893657942129</v>
      </c>
      <c r="G117" s="92">
        <v>15.61323205518298</v>
      </c>
      <c r="H117" s="92">
        <v>17.955216863460429</v>
      </c>
      <c r="I117" s="92">
        <v>18.097651376001661</v>
      </c>
      <c r="J117" s="92">
        <v>18.959444298668409</v>
      </c>
      <c r="K117" s="92">
        <v>18.959444298668409</v>
      </c>
      <c r="L117" s="93">
        <f t="shared" si="17"/>
        <v>17.663147091654</v>
      </c>
      <c r="M117" s="91">
        <v>19.914784621883264</v>
      </c>
      <c r="N117" s="92">
        <v>21.811430776348338</v>
      </c>
      <c r="O117" s="92">
        <v>20.863107699115801</v>
      </c>
      <c r="P117" s="92">
        <v>20.22677927811705</v>
      </c>
      <c r="Q117" s="92">
        <v>21.189959243741672</v>
      </c>
      <c r="R117" s="92">
        <v>21.189959243741672</v>
      </c>
      <c r="S117" s="94">
        <f t="shared" si="18"/>
        <v>20.866003477157964</v>
      </c>
      <c r="U117" t="s">
        <v>155</v>
      </c>
      <c r="V117" t="s">
        <v>156</v>
      </c>
      <c r="W117">
        <v>16.393893657942129</v>
      </c>
      <c r="X117">
        <v>15.61323205518298</v>
      </c>
      <c r="Y117">
        <v>17.955216863460429</v>
      </c>
      <c r="Z117">
        <v>18.097651376001661</v>
      </c>
      <c r="AA117">
        <v>18.959444298668409</v>
      </c>
      <c r="AB117">
        <v>18.959444298668409</v>
      </c>
      <c r="AC117">
        <v>17.663147091654</v>
      </c>
      <c r="AD117">
        <v>19.914784621883264</v>
      </c>
      <c r="AE117">
        <v>21.811430776348338</v>
      </c>
      <c r="AF117">
        <v>20.863107699115801</v>
      </c>
      <c r="AG117">
        <v>20.22677927811705</v>
      </c>
      <c r="AH117">
        <v>21.189959243741672</v>
      </c>
      <c r="AI117">
        <v>21.189959243741672</v>
      </c>
      <c r="AJ117">
        <v>20.866003477157964</v>
      </c>
    </row>
    <row r="118" spans="1:36" hidden="1">
      <c r="A118" s="71" t="s">
        <v>155</v>
      </c>
      <c r="B118" s="17" t="s">
        <v>156</v>
      </c>
      <c r="C118" s="89" t="s">
        <v>187</v>
      </c>
      <c r="D118" s="89" t="s">
        <v>187</v>
      </c>
      <c r="E118" s="90" t="str">
        <f>VLOOKUP(D118,'[46]Yield Cal Oracle (base) '!$D:$E,2,0)</f>
        <v>TEPSLA0J686M1508RKT</v>
      </c>
      <c r="F118" s="91">
        <v>0.58175209342924472</v>
      </c>
      <c r="G118" s="92">
        <v>0.55404961278975695</v>
      </c>
      <c r="H118" s="92">
        <v>0.63715705470822048</v>
      </c>
      <c r="I118" s="92">
        <v>0.67668029454956191</v>
      </c>
      <c r="J118" s="92">
        <v>0.7089031657185888</v>
      </c>
      <c r="K118" s="92">
        <v>0.7089031657185888</v>
      </c>
      <c r="L118" s="93">
        <f t="shared" si="17"/>
        <v>0.64457423115232693</v>
      </c>
      <c r="M118" s="91">
        <v>0.73385487177024178</v>
      </c>
      <c r="N118" s="92">
        <v>0.8037458119388361</v>
      </c>
      <c r="O118" s="92">
        <v>0.76880034185453905</v>
      </c>
      <c r="P118" s="92">
        <v>0.74786292084197659</v>
      </c>
      <c r="Q118" s="92">
        <v>0.78347544088207088</v>
      </c>
      <c r="R118" s="92">
        <v>0.78347544088207088</v>
      </c>
      <c r="S118" s="94">
        <f t="shared" si="18"/>
        <v>0.77020247136162256</v>
      </c>
      <c r="U118" t="s">
        <v>155</v>
      </c>
      <c r="V118" t="s">
        <v>156</v>
      </c>
      <c r="W118">
        <v>0.58175209342924472</v>
      </c>
      <c r="X118">
        <v>0.55404961278975695</v>
      </c>
      <c r="Y118">
        <v>0.63715705470822048</v>
      </c>
      <c r="Z118">
        <v>0.67668029454956191</v>
      </c>
      <c r="AA118">
        <v>0.7089031657185888</v>
      </c>
      <c r="AB118">
        <v>0.7089031657185888</v>
      </c>
      <c r="AC118">
        <v>0.64457423115232693</v>
      </c>
      <c r="AD118">
        <v>0.73385487177024178</v>
      </c>
      <c r="AE118">
        <v>0.8037458119388361</v>
      </c>
      <c r="AF118">
        <v>0.76880034185453905</v>
      </c>
      <c r="AG118">
        <v>0.74786292084197659</v>
      </c>
      <c r="AH118">
        <v>0.78347544088207088</v>
      </c>
      <c r="AI118">
        <v>0.78347544088207088</v>
      </c>
      <c r="AJ118">
        <v>0.77020247136162256</v>
      </c>
    </row>
    <row r="119" spans="1:36" hidden="1">
      <c r="A119" s="71" t="s">
        <v>155</v>
      </c>
      <c r="B119" s="17" t="s">
        <v>156</v>
      </c>
      <c r="C119" s="89" t="s">
        <v>188</v>
      </c>
      <c r="D119" s="89" t="s">
        <v>188</v>
      </c>
      <c r="E119" s="90" t="str">
        <f>VLOOKUP(D119,'[46]Yield Cal Oracle (base) '!$D:$E,2,0)</f>
        <v>TEPSLA1A106M808RKT</v>
      </c>
      <c r="F119" s="91">
        <v>60.303560403296217</v>
      </c>
      <c r="G119" s="92">
        <v>57.431962288853526</v>
      </c>
      <c r="H119" s="92">
        <v>66.04675663218157</v>
      </c>
      <c r="I119" s="92">
        <v>68.721835101598316</v>
      </c>
      <c r="J119" s="92">
        <v>71.994303439769666</v>
      </c>
      <c r="K119" s="92">
        <v>71.994303439769666</v>
      </c>
      <c r="L119" s="93">
        <f t="shared" si="17"/>
        <v>66.082120217578165</v>
      </c>
      <c r="M119" s="91">
        <v>77.781255858611033</v>
      </c>
      <c r="N119" s="92">
        <v>85.188994511812069</v>
      </c>
      <c r="O119" s="92">
        <v>81.485125185211544</v>
      </c>
      <c r="P119" s="92">
        <v>78.297215533343106</v>
      </c>
      <c r="Q119" s="92">
        <v>82.025654368264213</v>
      </c>
      <c r="R119" s="92">
        <v>82.025654368264213</v>
      </c>
      <c r="S119" s="94">
        <f t="shared" si="18"/>
        <v>81.133983304251032</v>
      </c>
      <c r="U119" t="s">
        <v>155</v>
      </c>
      <c r="V119" t="s">
        <v>156</v>
      </c>
      <c r="W119">
        <v>60.303560403296217</v>
      </c>
      <c r="X119">
        <v>57.431962288853526</v>
      </c>
      <c r="Y119">
        <v>66.04675663218157</v>
      </c>
      <c r="Z119">
        <v>68.721835101598316</v>
      </c>
      <c r="AA119">
        <v>71.994303439769666</v>
      </c>
      <c r="AB119">
        <v>71.994303439769666</v>
      </c>
      <c r="AC119">
        <v>66.082120217578165</v>
      </c>
      <c r="AD119">
        <v>77.781255858611033</v>
      </c>
      <c r="AE119">
        <v>85.188994511812069</v>
      </c>
      <c r="AF119">
        <v>81.485125185211544</v>
      </c>
      <c r="AG119">
        <v>78.297215533343106</v>
      </c>
      <c r="AH119">
        <v>82.025654368264213</v>
      </c>
      <c r="AI119">
        <v>82.025654368264213</v>
      </c>
      <c r="AJ119">
        <v>81.133983304251032</v>
      </c>
    </row>
    <row r="120" spans="1:36" hidden="1">
      <c r="A120" s="71" t="s">
        <v>155</v>
      </c>
      <c r="B120" s="17" t="s">
        <v>156</v>
      </c>
      <c r="C120" s="89" t="s">
        <v>189</v>
      </c>
      <c r="D120" s="89" t="s">
        <v>189</v>
      </c>
      <c r="E120" s="90" t="str">
        <f>VLOOKUP(D120,'[46]Yield Cal Oracle (base) '!$D:$E,2,0)</f>
        <v>TEPSLA1A106M8R</v>
      </c>
      <c r="F120" s="91">
        <v>59.155914923259033</v>
      </c>
      <c r="G120" s="92">
        <v>56.338966593580039</v>
      </c>
      <c r="H120" s="92">
        <v>64.789811582617048</v>
      </c>
      <c r="I120" s="92">
        <v>58.719865016193587</v>
      </c>
      <c r="J120" s="92">
        <v>61.516049064583754</v>
      </c>
      <c r="K120" s="92">
        <v>61.516049064583754</v>
      </c>
      <c r="L120" s="93">
        <f t="shared" si="17"/>
        <v>60.339442707469537</v>
      </c>
      <c r="M120" s="91">
        <v>60.351064630971159</v>
      </c>
      <c r="N120" s="92">
        <v>66.098785072016028</v>
      </c>
      <c r="O120" s="92">
        <v>63.224924851493597</v>
      </c>
      <c r="P120" s="92">
        <v>61.778273947371879</v>
      </c>
      <c r="Q120" s="92">
        <v>64.720096516294348</v>
      </c>
      <c r="R120" s="92">
        <v>64.720096516294348</v>
      </c>
      <c r="S120" s="94">
        <f t="shared" si="18"/>
        <v>63.482206922406895</v>
      </c>
      <c r="U120" t="s">
        <v>155</v>
      </c>
      <c r="V120" t="s">
        <v>156</v>
      </c>
      <c r="W120">
        <v>59.155914923259033</v>
      </c>
      <c r="X120">
        <v>56.338966593580039</v>
      </c>
      <c r="Y120">
        <v>64.789811582617048</v>
      </c>
      <c r="Z120">
        <v>58.719865016193587</v>
      </c>
      <c r="AA120">
        <v>61.516049064583754</v>
      </c>
      <c r="AB120">
        <v>61.516049064583754</v>
      </c>
      <c r="AC120">
        <v>60.339442707469537</v>
      </c>
      <c r="AD120">
        <v>60.351064630971159</v>
      </c>
      <c r="AE120">
        <v>66.098785072016028</v>
      </c>
      <c r="AF120">
        <v>63.224924851493597</v>
      </c>
      <c r="AG120">
        <v>61.778273947371879</v>
      </c>
      <c r="AH120">
        <v>64.720096516294348</v>
      </c>
      <c r="AI120">
        <v>64.720096516294348</v>
      </c>
      <c r="AJ120">
        <v>63.482206922406895</v>
      </c>
    </row>
    <row r="121" spans="1:36" hidden="1">
      <c r="A121" s="71" t="s">
        <v>155</v>
      </c>
      <c r="B121" s="17" t="s">
        <v>156</v>
      </c>
      <c r="C121" s="72" t="s">
        <v>190</v>
      </c>
      <c r="D121" s="72" t="s">
        <v>190</v>
      </c>
      <c r="E121" s="66" t="e">
        <f>VLOOKUP(D121,'[46]Yield Cal Oracle (base) '!$D:$E,2,0)</f>
        <v>#N/A</v>
      </c>
      <c r="F121" s="91">
        <v>0.2454602278973404</v>
      </c>
      <c r="G121" s="92">
        <v>0.2337716456165147</v>
      </c>
      <c r="H121" s="92">
        <v>0.26883739245899185</v>
      </c>
      <c r="I121" s="92">
        <v>0.24365089218337591</v>
      </c>
      <c r="J121" s="92">
        <v>0.25525331562067949</v>
      </c>
      <c r="K121" s="92">
        <v>0.25525331562067949</v>
      </c>
      <c r="L121" s="93">
        <f t="shared" si="17"/>
        <v>0.25037113156626362</v>
      </c>
      <c r="M121" s="91">
        <v>0.25041935531523302</v>
      </c>
      <c r="N121" s="92">
        <v>0.27426881772620759</v>
      </c>
      <c r="O121" s="92">
        <v>0.26234408652072033</v>
      </c>
      <c r="P121" s="92">
        <v>0.25634138567374221</v>
      </c>
      <c r="Q121" s="92">
        <v>0.2685481183248728</v>
      </c>
      <c r="R121" s="92">
        <v>0.2685481183248728</v>
      </c>
      <c r="S121" s="94">
        <f t="shared" si="18"/>
        <v>0.26341164698094144</v>
      </c>
      <c r="U121" t="s">
        <v>155</v>
      </c>
      <c r="V121" t="s">
        <v>156</v>
      </c>
      <c r="W121">
        <v>0.2454602278973404</v>
      </c>
      <c r="X121">
        <v>0.2337716456165147</v>
      </c>
      <c r="Y121">
        <v>0.26883739245899185</v>
      </c>
      <c r="Z121">
        <v>0.24365089218337591</v>
      </c>
      <c r="AA121">
        <v>0.25525331562067949</v>
      </c>
      <c r="AB121">
        <v>0.25525331562067949</v>
      </c>
      <c r="AC121">
        <v>0.25037113156626362</v>
      </c>
      <c r="AD121">
        <v>0.25041935531523302</v>
      </c>
      <c r="AE121">
        <v>0.27426881772620759</v>
      </c>
      <c r="AF121">
        <v>0.26234408652072033</v>
      </c>
      <c r="AG121">
        <v>0.25634138567374221</v>
      </c>
      <c r="AH121">
        <v>0.2685481183248728</v>
      </c>
      <c r="AI121">
        <v>0.2685481183248728</v>
      </c>
      <c r="AJ121">
        <v>0.26341164698094144</v>
      </c>
    </row>
    <row r="122" spans="1:36" hidden="1">
      <c r="A122" s="71" t="s">
        <v>155</v>
      </c>
      <c r="B122" s="17" t="s">
        <v>156</v>
      </c>
      <c r="C122" s="89" t="s">
        <v>191</v>
      </c>
      <c r="D122" s="89" t="s">
        <v>191</v>
      </c>
      <c r="E122" s="90" t="str">
        <f>VLOOKUP(D122,'[46]Yield Cal Oracle (base) '!$D:$E,2,0)</f>
        <v>TEPSLA1A156M808RKT</v>
      </c>
      <c r="F122" s="91">
        <v>30.528110183410551</v>
      </c>
      <c r="G122" s="92">
        <v>29.074390650867194</v>
      </c>
      <c r="H122" s="92">
        <v>33.435549248497267</v>
      </c>
      <c r="I122" s="92">
        <v>36.188707621853254</v>
      </c>
      <c r="J122" s="92">
        <v>37.911979413370076</v>
      </c>
      <c r="K122" s="92">
        <v>37.911979413370076</v>
      </c>
      <c r="L122" s="93">
        <f t="shared" si="17"/>
        <v>34.175119421894742</v>
      </c>
      <c r="M122" s="91">
        <v>41.165445998424715</v>
      </c>
      <c r="N122" s="92">
        <v>45.085964664941365</v>
      </c>
      <c r="O122" s="92">
        <v>43.125705331683037</v>
      </c>
      <c r="P122" s="92">
        <v>41.825513643934357</v>
      </c>
      <c r="Q122" s="92">
        <v>43.817204769835989</v>
      </c>
      <c r="R122" s="92">
        <v>43.817204769835989</v>
      </c>
      <c r="S122" s="94">
        <f t="shared" si="18"/>
        <v>43.139506529775907</v>
      </c>
      <c r="U122" t="s">
        <v>155</v>
      </c>
      <c r="V122" t="s">
        <v>156</v>
      </c>
      <c r="W122">
        <v>30.528110183410551</v>
      </c>
      <c r="X122">
        <v>29.074390650867194</v>
      </c>
      <c r="Y122">
        <v>33.435549248497267</v>
      </c>
      <c r="Z122">
        <v>36.188707621853254</v>
      </c>
      <c r="AA122">
        <v>37.911979413370076</v>
      </c>
      <c r="AB122">
        <v>37.911979413370076</v>
      </c>
      <c r="AC122">
        <v>34.175119421894742</v>
      </c>
      <c r="AD122">
        <v>41.165445998424715</v>
      </c>
      <c r="AE122">
        <v>45.085964664941365</v>
      </c>
      <c r="AF122">
        <v>43.125705331683037</v>
      </c>
      <c r="AG122">
        <v>41.825513643934357</v>
      </c>
      <c r="AH122">
        <v>43.817204769835989</v>
      </c>
      <c r="AI122">
        <v>43.817204769835989</v>
      </c>
      <c r="AJ122">
        <v>43.139506529775907</v>
      </c>
    </row>
    <row r="123" spans="1:36" hidden="1">
      <c r="A123" s="71" t="s">
        <v>155</v>
      </c>
      <c r="B123" s="17" t="s">
        <v>156</v>
      </c>
      <c r="C123" s="89" t="s">
        <v>192</v>
      </c>
      <c r="D123" s="89" t="s">
        <v>192</v>
      </c>
      <c r="E123" s="90" t="str">
        <f>VLOOKUP(D123,'[46]Yield Cal Oracle (base) '!$D:$E,2,0)</f>
        <v>TEPSLA1A226M808RKT</v>
      </c>
      <c r="F123" s="91">
        <v>16.07704618929073</v>
      </c>
      <c r="G123" s="92">
        <v>15.311472561229269</v>
      </c>
      <c r="H123" s="92">
        <v>17.608193445413658</v>
      </c>
      <c r="I123" s="92">
        <v>18.579556262018439</v>
      </c>
      <c r="J123" s="92">
        <v>19.464297036400271</v>
      </c>
      <c r="K123" s="92">
        <v>19.464297036400271</v>
      </c>
      <c r="L123" s="93">
        <f t="shared" si="17"/>
        <v>17.750810421792107</v>
      </c>
      <c r="M123" s="91">
        <v>20.611998288791373</v>
      </c>
      <c r="N123" s="92">
        <v>22.575045744866745</v>
      </c>
      <c r="O123" s="92">
        <v>21.593522016829059</v>
      </c>
      <c r="P123" s="92">
        <v>20.825903484681799</v>
      </c>
      <c r="Q123" s="92">
        <v>21.817613174428551</v>
      </c>
      <c r="R123" s="92">
        <v>21.817613174428551</v>
      </c>
      <c r="S123" s="94">
        <f t="shared" si="18"/>
        <v>21.54028264733768</v>
      </c>
      <c r="U123" t="s">
        <v>155</v>
      </c>
      <c r="V123" t="s">
        <v>156</v>
      </c>
      <c r="W123">
        <v>16.07704618929073</v>
      </c>
      <c r="X123">
        <v>15.311472561229269</v>
      </c>
      <c r="Y123">
        <v>17.608193445413658</v>
      </c>
      <c r="Z123">
        <v>18.579556262018439</v>
      </c>
      <c r="AA123">
        <v>19.464297036400271</v>
      </c>
      <c r="AB123">
        <v>19.464297036400271</v>
      </c>
      <c r="AC123">
        <v>17.750810421792107</v>
      </c>
      <c r="AD123">
        <v>20.611998288791373</v>
      </c>
      <c r="AE123">
        <v>22.575045744866745</v>
      </c>
      <c r="AF123">
        <v>21.593522016829059</v>
      </c>
      <c r="AG123">
        <v>20.825903484681799</v>
      </c>
      <c r="AH123">
        <v>21.817613174428551</v>
      </c>
      <c r="AI123">
        <v>21.817613174428551</v>
      </c>
      <c r="AJ123">
        <v>21.54028264733768</v>
      </c>
    </row>
    <row r="124" spans="1:36" hidden="1">
      <c r="A124" s="71" t="s">
        <v>155</v>
      </c>
      <c r="B124" s="17" t="s">
        <v>156</v>
      </c>
      <c r="C124" s="89" t="s">
        <v>193</v>
      </c>
      <c r="D124" s="89" t="s">
        <v>193</v>
      </c>
      <c r="E124" s="90" t="str">
        <f>VLOOKUP(D124,'[46]Yield Cal Oracle (base) '!$D:$E,2,0)</f>
        <v>TEPSLA1A226M8R</v>
      </c>
      <c r="F124" s="91">
        <v>72.960134986188208</v>
      </c>
      <c r="G124" s="92">
        <v>69.485842843988763</v>
      </c>
      <c r="H124" s="92">
        <v>79.908719270587099</v>
      </c>
      <c r="I124" s="92">
        <v>71.849473223922814</v>
      </c>
      <c r="J124" s="92">
        <v>75.270876710776278</v>
      </c>
      <c r="K124" s="92">
        <v>75.270876710776278</v>
      </c>
      <c r="L124" s="93">
        <f t="shared" si="17"/>
        <v>74.12432062437324</v>
      </c>
      <c r="M124" s="91">
        <v>72.941359428866136</v>
      </c>
      <c r="N124" s="92">
        <v>79.888155564948619</v>
      </c>
      <c r="O124" s="92">
        <v>76.41475749690737</v>
      </c>
      <c r="P124" s="92">
        <v>74.075950738662982</v>
      </c>
      <c r="Q124" s="92">
        <v>77.603376964313625</v>
      </c>
      <c r="R124" s="92">
        <v>77.603376964313625</v>
      </c>
      <c r="S124" s="94">
        <f t="shared" si="18"/>
        <v>76.421162859668726</v>
      </c>
      <c r="U124" t="s">
        <v>155</v>
      </c>
      <c r="V124" t="s">
        <v>156</v>
      </c>
      <c r="W124">
        <v>72.960134986188208</v>
      </c>
      <c r="X124">
        <v>69.485842843988763</v>
      </c>
      <c r="Y124">
        <v>79.908719270587099</v>
      </c>
      <c r="Z124">
        <v>71.849473223922814</v>
      </c>
      <c r="AA124">
        <v>75.270876710776278</v>
      </c>
      <c r="AB124">
        <v>75.270876710776278</v>
      </c>
      <c r="AC124">
        <v>74.12432062437324</v>
      </c>
      <c r="AD124">
        <v>72.941359428866136</v>
      </c>
      <c r="AE124">
        <v>79.888155564948619</v>
      </c>
      <c r="AF124">
        <v>76.41475749690737</v>
      </c>
      <c r="AG124">
        <v>74.075950738662982</v>
      </c>
      <c r="AH124">
        <v>77.603376964313625</v>
      </c>
      <c r="AI124">
        <v>77.603376964313625</v>
      </c>
      <c r="AJ124">
        <v>76.421162859668726</v>
      </c>
    </row>
    <row r="125" spans="1:36" hidden="1">
      <c r="A125" s="71" t="s">
        <v>155</v>
      </c>
      <c r="B125" s="17" t="s">
        <v>156</v>
      </c>
      <c r="C125" s="72" t="s">
        <v>194</v>
      </c>
      <c r="D125" s="72" t="s">
        <v>194</v>
      </c>
      <c r="E125" s="66" t="e">
        <f>VLOOKUP(D125,'[46]Yield Cal Oracle (base) '!$D:$E,2,0)</f>
        <v>#N/A</v>
      </c>
      <c r="F125" s="91">
        <v>3.1909829626654247</v>
      </c>
      <c r="G125" s="92">
        <v>3.0390313930146897</v>
      </c>
      <c r="H125" s="92">
        <v>3.4948861019668933</v>
      </c>
      <c r="I125" s="92">
        <v>3.1674615983838859</v>
      </c>
      <c r="J125" s="92">
        <v>3.3182931030688332</v>
      </c>
      <c r="K125" s="92">
        <v>3.3182931030688332</v>
      </c>
      <c r="L125" s="93">
        <f t="shared" si="17"/>
        <v>3.2548247103614263</v>
      </c>
      <c r="M125" s="91">
        <v>3.2554516190980296</v>
      </c>
      <c r="N125" s="92">
        <v>3.5654946304406994</v>
      </c>
      <c r="O125" s="92">
        <v>3.4104731247693643</v>
      </c>
      <c r="P125" s="92">
        <v>3.3324380137586491</v>
      </c>
      <c r="Q125" s="92">
        <v>3.491125538223347</v>
      </c>
      <c r="R125" s="92">
        <v>3.491125538223347</v>
      </c>
      <c r="S125" s="94">
        <f t="shared" si="18"/>
        <v>3.424351410752239</v>
      </c>
      <c r="U125" t="s">
        <v>155</v>
      </c>
      <c r="V125" t="s">
        <v>156</v>
      </c>
      <c r="W125">
        <v>3.1909829626654247</v>
      </c>
      <c r="X125">
        <v>3.0390313930146897</v>
      </c>
      <c r="Y125">
        <v>3.4948861019668933</v>
      </c>
      <c r="Z125">
        <v>3.1674615983838859</v>
      </c>
      <c r="AA125">
        <v>3.3182931030688332</v>
      </c>
      <c r="AB125">
        <v>3.3182931030688332</v>
      </c>
      <c r="AC125">
        <v>3.2548247103614263</v>
      </c>
      <c r="AD125">
        <v>3.2554516190980296</v>
      </c>
      <c r="AE125">
        <v>3.5654946304406994</v>
      </c>
      <c r="AF125">
        <v>3.4104731247693643</v>
      </c>
      <c r="AG125">
        <v>3.3324380137586491</v>
      </c>
      <c r="AH125">
        <v>3.491125538223347</v>
      </c>
      <c r="AI125">
        <v>3.491125538223347</v>
      </c>
      <c r="AJ125">
        <v>3.424351410752239</v>
      </c>
    </row>
    <row r="126" spans="1:36" hidden="1">
      <c r="A126" s="71" t="s">
        <v>155</v>
      </c>
      <c r="B126" s="17" t="s">
        <v>156</v>
      </c>
      <c r="C126" s="89" t="s">
        <v>195</v>
      </c>
      <c r="D126" s="89" t="s">
        <v>195</v>
      </c>
      <c r="E126" s="90" t="str">
        <f>VLOOKUP(D126,'[46]Yield Cal Oracle (base) '!$D:$E,2,0)</f>
        <v>TEPSLA1A475M3008RKT2</v>
      </c>
      <c r="F126" s="91">
        <v>0.87584722223907263</v>
      </c>
      <c r="G126" s="92">
        <v>0.8341402116562594</v>
      </c>
      <c r="H126" s="92">
        <v>0.95926124340469843</v>
      </c>
      <c r="I126" s="92">
        <v>0.94077016318826245</v>
      </c>
      <c r="J126" s="92">
        <v>0.98556874238770353</v>
      </c>
      <c r="K126" s="92">
        <v>0.98556874238770353</v>
      </c>
      <c r="L126" s="93">
        <f t="shared" si="17"/>
        <v>0.93019272087728344</v>
      </c>
      <c r="M126" s="91">
        <v>1.0594185310009494</v>
      </c>
      <c r="N126" s="92">
        <v>1.1603155339534206</v>
      </c>
      <c r="O126" s="92">
        <v>1.1098670324771849</v>
      </c>
      <c r="P126" s="92">
        <v>1.0757172776317332</v>
      </c>
      <c r="Q126" s="92">
        <v>1.1269419098999109</v>
      </c>
      <c r="R126" s="92">
        <v>1.1269419098999109</v>
      </c>
      <c r="S126" s="94">
        <f t="shared" si="18"/>
        <v>1.1098670324771849</v>
      </c>
      <c r="U126" t="s">
        <v>155</v>
      </c>
      <c r="V126" t="s">
        <v>156</v>
      </c>
      <c r="W126">
        <v>0.87584722223907263</v>
      </c>
      <c r="X126">
        <v>0.8341402116562594</v>
      </c>
      <c r="Y126">
        <v>0.95926124340469843</v>
      </c>
      <c r="Z126">
        <v>0.94077016318826245</v>
      </c>
      <c r="AA126">
        <v>0.98556874238770353</v>
      </c>
      <c r="AB126">
        <v>0.98556874238770353</v>
      </c>
      <c r="AC126">
        <v>0.93019272087728344</v>
      </c>
      <c r="AD126">
        <v>1.0594185310009494</v>
      </c>
      <c r="AE126">
        <v>1.1603155339534206</v>
      </c>
      <c r="AF126">
        <v>1.1098670324771849</v>
      </c>
      <c r="AG126">
        <v>1.0757172776317332</v>
      </c>
      <c r="AH126">
        <v>1.1269419098999109</v>
      </c>
      <c r="AI126">
        <v>1.1269419098999109</v>
      </c>
      <c r="AJ126">
        <v>1.1098670324771849</v>
      </c>
    </row>
    <row r="127" spans="1:36" hidden="1">
      <c r="A127" s="71" t="s">
        <v>155</v>
      </c>
      <c r="B127" s="17" t="s">
        <v>156</v>
      </c>
      <c r="C127" s="89" t="s">
        <v>196</v>
      </c>
      <c r="D127" s="89" t="s">
        <v>196</v>
      </c>
      <c r="E127" s="90" t="str">
        <f>VLOOKUP(D127,'[46]Yield Cal Oracle (base) '!$D:$E,2,0)</f>
        <v>TEPSLA1A475M8R</v>
      </c>
      <c r="F127" s="91">
        <v>10.640380421361959</v>
      </c>
      <c r="G127" s="92">
        <v>10.133695639392343</v>
      </c>
      <c r="H127" s="92">
        <v>11.653749985301193</v>
      </c>
      <c r="I127" s="92">
        <v>10.557328255896014</v>
      </c>
      <c r="J127" s="92">
        <v>11.060058172843444</v>
      </c>
      <c r="K127" s="92">
        <v>11.060058172843444</v>
      </c>
      <c r="L127" s="93">
        <f t="shared" si="17"/>
        <v>10.850878441273066</v>
      </c>
      <c r="M127" s="91">
        <v>10.843313271932413</v>
      </c>
      <c r="N127" s="92">
        <v>11.876009774021215</v>
      </c>
      <c r="O127" s="92">
        <v>11.359661522976815</v>
      </c>
      <c r="P127" s="92">
        <v>11.09497989669295</v>
      </c>
      <c r="Q127" s="92">
        <v>11.623312272725949</v>
      </c>
      <c r="R127" s="92">
        <v>11.623312272725949</v>
      </c>
      <c r="S127" s="94">
        <f t="shared" si="18"/>
        <v>11.403431501845882</v>
      </c>
      <c r="U127" t="s">
        <v>155</v>
      </c>
      <c r="V127" t="s">
        <v>156</v>
      </c>
      <c r="W127">
        <v>10.640380421361959</v>
      </c>
      <c r="X127">
        <v>10.133695639392343</v>
      </c>
      <c r="Y127">
        <v>11.653749985301193</v>
      </c>
      <c r="Z127">
        <v>10.557328255896014</v>
      </c>
      <c r="AA127">
        <v>11.060058172843444</v>
      </c>
      <c r="AB127">
        <v>11.060058172843444</v>
      </c>
      <c r="AC127">
        <v>10.850878441273066</v>
      </c>
      <c r="AD127">
        <v>10.843313271932413</v>
      </c>
      <c r="AE127">
        <v>11.876009774021215</v>
      </c>
      <c r="AF127">
        <v>11.359661522976815</v>
      </c>
      <c r="AG127">
        <v>11.09497989669295</v>
      </c>
      <c r="AH127">
        <v>11.623312272725949</v>
      </c>
      <c r="AI127">
        <v>11.623312272725949</v>
      </c>
      <c r="AJ127">
        <v>11.403431501845882</v>
      </c>
    </row>
    <row r="128" spans="1:36" hidden="1">
      <c r="A128" s="71" t="s">
        <v>155</v>
      </c>
      <c r="B128" s="17" t="s">
        <v>156</v>
      </c>
      <c r="C128" s="89" t="s">
        <v>197</v>
      </c>
      <c r="D128" s="89" t="s">
        <v>197</v>
      </c>
      <c r="E128" s="90" t="str">
        <f>VLOOKUP(D128,'[46]Yield Cal Oracle (base) '!$D:$E,2,0)</f>
        <v>TEPSLA1A475M8RF</v>
      </c>
      <c r="F128" s="91">
        <v>0.2454602278973404</v>
      </c>
      <c r="G128" s="92">
        <v>0.23377164561651467</v>
      </c>
      <c r="H128" s="92">
        <v>0.26883739245899185</v>
      </c>
      <c r="I128" s="92">
        <v>0.24365089218337588</v>
      </c>
      <c r="J128" s="92">
        <v>0.25525331562067949</v>
      </c>
      <c r="K128" s="92">
        <v>0.25525331562067949</v>
      </c>
      <c r="L128" s="93">
        <f t="shared" si="17"/>
        <v>0.25037113156626362</v>
      </c>
      <c r="M128" s="91">
        <v>0.25041935531523307</v>
      </c>
      <c r="N128" s="92">
        <v>0.27426881772620759</v>
      </c>
      <c r="O128" s="92">
        <v>0.26234408652072033</v>
      </c>
      <c r="P128" s="92">
        <v>0.25634138567374226</v>
      </c>
      <c r="Q128" s="92">
        <v>0.2685481183248728</v>
      </c>
      <c r="R128" s="92">
        <v>0.2685481183248728</v>
      </c>
      <c r="S128" s="94">
        <f t="shared" si="18"/>
        <v>0.26341164698094149</v>
      </c>
      <c r="U128" t="s">
        <v>155</v>
      </c>
      <c r="V128" t="s">
        <v>156</v>
      </c>
      <c r="W128">
        <v>0.2454602278973404</v>
      </c>
      <c r="X128">
        <v>0.23377164561651467</v>
      </c>
      <c r="Y128">
        <v>0.26883739245899185</v>
      </c>
      <c r="Z128">
        <v>0.24365089218337588</v>
      </c>
      <c r="AA128">
        <v>0.25525331562067949</v>
      </c>
      <c r="AB128">
        <v>0.25525331562067949</v>
      </c>
      <c r="AC128">
        <v>0.25037113156626362</v>
      </c>
      <c r="AD128">
        <v>0.25041935531523307</v>
      </c>
      <c r="AE128">
        <v>0.27426881772620759</v>
      </c>
      <c r="AF128">
        <v>0.26234408652072033</v>
      </c>
      <c r="AG128">
        <v>0.25634138567374226</v>
      </c>
      <c r="AH128">
        <v>0.2685481183248728</v>
      </c>
      <c r="AI128">
        <v>0.2685481183248728</v>
      </c>
      <c r="AJ128">
        <v>0.26341164698094149</v>
      </c>
    </row>
    <row r="129" spans="1:36" hidden="1">
      <c r="A129" s="71" t="s">
        <v>155</v>
      </c>
      <c r="B129" s="17" t="s">
        <v>156</v>
      </c>
      <c r="C129" s="89" t="s">
        <v>198</v>
      </c>
      <c r="D129" s="89" t="s">
        <v>198</v>
      </c>
      <c r="E129" s="90" t="str">
        <f>VLOOKUP(D129,'[46]Yield Cal Oracle (base) '!$D:$E,2,0)</f>
        <v>TEPSLA1A476M458R</v>
      </c>
      <c r="F129" s="91">
        <v>20.373198915479254</v>
      </c>
      <c r="G129" s="92">
        <v>19.403046586170717</v>
      </c>
      <c r="H129" s="92">
        <v>22.31350357409632</v>
      </c>
      <c r="I129" s="92">
        <v>20.223024051220197</v>
      </c>
      <c r="J129" s="92">
        <v>21.1860251965164</v>
      </c>
      <c r="K129" s="92">
        <v>21.1860251965164</v>
      </c>
      <c r="L129" s="93">
        <f t="shared" si="17"/>
        <v>20.78080391999988</v>
      </c>
      <c r="M129" s="91">
        <v>20.784806491164346</v>
      </c>
      <c r="N129" s="92">
        <v>22.764311871275233</v>
      </c>
      <c r="O129" s="92">
        <v>21.774559181219789</v>
      </c>
      <c r="P129" s="92">
        <v>21.276335010920604</v>
      </c>
      <c r="Q129" s="92">
        <v>22.289493820964442</v>
      </c>
      <c r="R129" s="92">
        <v>22.289493820964442</v>
      </c>
      <c r="S129" s="94">
        <f t="shared" si="18"/>
        <v>21.863166699418144</v>
      </c>
      <c r="U129" t="s">
        <v>155</v>
      </c>
      <c r="V129" t="s">
        <v>156</v>
      </c>
      <c r="W129">
        <v>20.373198915479254</v>
      </c>
      <c r="X129">
        <v>19.403046586170717</v>
      </c>
      <c r="Y129">
        <v>22.31350357409632</v>
      </c>
      <c r="Z129">
        <v>20.223024051220197</v>
      </c>
      <c r="AA129">
        <v>21.1860251965164</v>
      </c>
      <c r="AB129">
        <v>21.1860251965164</v>
      </c>
      <c r="AC129">
        <v>20.78080391999988</v>
      </c>
      <c r="AD129">
        <v>20.784806491164346</v>
      </c>
      <c r="AE129">
        <v>22.764311871275233</v>
      </c>
      <c r="AF129">
        <v>21.774559181219789</v>
      </c>
      <c r="AG129">
        <v>21.276335010920604</v>
      </c>
      <c r="AH129">
        <v>22.289493820964442</v>
      </c>
      <c r="AI129">
        <v>22.289493820964442</v>
      </c>
      <c r="AJ129">
        <v>21.863166699418144</v>
      </c>
    </row>
    <row r="130" spans="1:36" hidden="1">
      <c r="A130" s="71" t="s">
        <v>155</v>
      </c>
      <c r="B130" s="17" t="s">
        <v>156</v>
      </c>
      <c r="C130" s="89" t="s">
        <v>199</v>
      </c>
      <c r="D130" s="89" t="s">
        <v>199</v>
      </c>
      <c r="E130" s="90" t="str">
        <f>VLOOKUP(D130,'[46]Yield Cal Oracle (base) '!$D:$E,2,0)</f>
        <v>TEPSLA1A476M45E8RLG</v>
      </c>
      <c r="F130" s="91">
        <v>817.38255889814343</v>
      </c>
      <c r="G130" s="92">
        <v>778.45957990299371</v>
      </c>
      <c r="H130" s="92">
        <v>895.22851688844275</v>
      </c>
      <c r="I130" s="92">
        <v>811.35747097064166</v>
      </c>
      <c r="J130" s="92">
        <v>849.99354101686276</v>
      </c>
      <c r="K130" s="92">
        <v>849.99354101686276</v>
      </c>
      <c r="L130" s="93">
        <f t="shared" si="17"/>
        <v>833.73586811565792</v>
      </c>
      <c r="M130" s="91">
        <v>833.89645319972612</v>
      </c>
      <c r="N130" s="92">
        <v>913.3151630282714</v>
      </c>
      <c r="O130" s="92">
        <v>873.60580811399882</v>
      </c>
      <c r="P130" s="92">
        <v>853.61681429356145</v>
      </c>
      <c r="Q130" s="92">
        <v>894.26523402182636</v>
      </c>
      <c r="R130" s="92">
        <v>894.26523402182636</v>
      </c>
      <c r="S130" s="94">
        <f t="shared" si="18"/>
        <v>877.1607844465351</v>
      </c>
      <c r="U130" t="s">
        <v>155</v>
      </c>
      <c r="V130" t="s">
        <v>156</v>
      </c>
      <c r="W130">
        <v>817.38255889814343</v>
      </c>
      <c r="X130">
        <v>778.45957990299371</v>
      </c>
      <c r="Y130">
        <v>895.22851688844275</v>
      </c>
      <c r="Z130">
        <v>811.35747097064166</v>
      </c>
      <c r="AA130">
        <v>849.99354101686276</v>
      </c>
      <c r="AB130">
        <v>849.99354101686276</v>
      </c>
      <c r="AC130">
        <v>833.73586811565792</v>
      </c>
      <c r="AD130">
        <v>833.89645319972612</v>
      </c>
      <c r="AE130">
        <v>913.3151630282714</v>
      </c>
      <c r="AF130">
        <v>873.60580811399882</v>
      </c>
      <c r="AG130">
        <v>853.61681429356145</v>
      </c>
      <c r="AH130">
        <v>894.26523402182636</v>
      </c>
      <c r="AI130">
        <v>894.26523402182636</v>
      </c>
      <c r="AJ130">
        <v>877.1607844465351</v>
      </c>
    </row>
    <row r="131" spans="1:36" hidden="1">
      <c r="A131" s="71" t="s">
        <v>155</v>
      </c>
      <c r="B131" s="17" t="s">
        <v>156</v>
      </c>
      <c r="C131" s="89" t="s">
        <v>200</v>
      </c>
      <c r="D131" s="89" t="s">
        <v>200</v>
      </c>
      <c r="E131" s="90" t="str">
        <f>VLOOKUP(D131,'[46]Yield Cal Oracle (base) '!$D:$E,2,0)</f>
        <v>TEPSLA1C335M8R</v>
      </c>
      <c r="F131" s="91">
        <v>29.106455700820597</v>
      </c>
      <c r="G131" s="92">
        <v>27.72043400078152</v>
      </c>
      <c r="H131" s="92">
        <v>31.878499100898743</v>
      </c>
      <c r="I131" s="92">
        <v>28.817989088895068</v>
      </c>
      <c r="J131" s="92">
        <v>30.190274283604353</v>
      </c>
      <c r="K131" s="92">
        <v>30.190274283604353</v>
      </c>
      <c r="L131" s="93">
        <f t="shared" si="17"/>
        <v>29.650654409767441</v>
      </c>
      <c r="M131" s="91">
        <v>29.501883044659646</v>
      </c>
      <c r="N131" s="92">
        <v>32.311586191770083</v>
      </c>
      <c r="O131" s="92">
        <v>30.90673461821487</v>
      </c>
      <c r="P131" s="92">
        <v>30.12338158468544</v>
      </c>
      <c r="Q131" s="92">
        <v>31.557828326813322</v>
      </c>
      <c r="R131" s="92">
        <v>31.557828326813322</v>
      </c>
      <c r="S131" s="94">
        <f t="shared" si="18"/>
        <v>30.993207015492782</v>
      </c>
      <c r="U131" t="s">
        <v>155</v>
      </c>
      <c r="V131" t="s">
        <v>156</v>
      </c>
      <c r="W131">
        <v>29.106455700820597</v>
      </c>
      <c r="X131">
        <v>27.72043400078152</v>
      </c>
      <c r="Y131">
        <v>31.878499100898743</v>
      </c>
      <c r="Z131">
        <v>28.817989088895068</v>
      </c>
      <c r="AA131">
        <v>30.190274283604353</v>
      </c>
      <c r="AB131">
        <v>30.190274283604353</v>
      </c>
      <c r="AC131">
        <v>29.650654409767441</v>
      </c>
      <c r="AD131">
        <v>29.501883044659646</v>
      </c>
      <c r="AE131">
        <v>32.311586191770083</v>
      </c>
      <c r="AF131">
        <v>30.90673461821487</v>
      </c>
      <c r="AG131">
        <v>30.12338158468544</v>
      </c>
      <c r="AH131">
        <v>31.557828326813322</v>
      </c>
      <c r="AI131">
        <v>31.557828326813322</v>
      </c>
      <c r="AJ131">
        <v>30.993207015492782</v>
      </c>
    </row>
    <row r="132" spans="1:36" hidden="1">
      <c r="A132" s="71" t="s">
        <v>155</v>
      </c>
      <c r="B132" s="17" t="s">
        <v>156</v>
      </c>
      <c r="C132" s="89"/>
      <c r="D132" s="89"/>
      <c r="E132" s="46"/>
      <c r="F132" s="91"/>
      <c r="G132" s="92"/>
      <c r="H132" s="92"/>
      <c r="I132" s="92"/>
      <c r="J132" s="92"/>
      <c r="K132" s="92"/>
      <c r="L132" s="93">
        <f t="shared" si="17"/>
        <v>0</v>
      </c>
      <c r="M132" s="91"/>
      <c r="N132" s="92"/>
      <c r="O132" s="92"/>
      <c r="P132" s="92"/>
      <c r="Q132" s="92"/>
      <c r="R132" s="92"/>
      <c r="S132" s="94">
        <f t="shared" si="18"/>
        <v>0</v>
      </c>
      <c r="U132" t="s">
        <v>155</v>
      </c>
      <c r="V132" t="s">
        <v>156</v>
      </c>
      <c r="AC132">
        <v>0</v>
      </c>
      <c r="AJ132">
        <v>0</v>
      </c>
    </row>
    <row r="133" spans="1:36" hidden="1">
      <c r="A133" s="71" t="s">
        <v>155</v>
      </c>
      <c r="B133" s="17" t="s">
        <v>156</v>
      </c>
      <c r="C133" s="89"/>
      <c r="D133" s="89"/>
      <c r="E133" s="46"/>
      <c r="F133" s="91"/>
      <c r="G133" s="92"/>
      <c r="H133" s="92"/>
      <c r="I133" s="92"/>
      <c r="J133" s="92"/>
      <c r="K133" s="92"/>
      <c r="L133" s="93">
        <f t="shared" si="17"/>
        <v>0</v>
      </c>
      <c r="M133" s="91"/>
      <c r="N133" s="92"/>
      <c r="O133" s="92"/>
      <c r="P133" s="92"/>
      <c r="Q133" s="92"/>
      <c r="R133" s="92"/>
      <c r="S133" s="94">
        <f t="shared" si="18"/>
        <v>0</v>
      </c>
      <c r="U133" t="s">
        <v>155</v>
      </c>
      <c r="V133" t="s">
        <v>156</v>
      </c>
      <c r="AC133">
        <v>0</v>
      </c>
      <c r="AJ133">
        <v>0</v>
      </c>
    </row>
    <row r="134" spans="1:36">
      <c r="A134" s="81"/>
      <c r="B134" s="82" t="s">
        <v>156</v>
      </c>
      <c r="C134" s="83" t="s">
        <v>88</v>
      </c>
      <c r="D134" s="83" t="s">
        <v>88</v>
      </c>
      <c r="E134" s="84"/>
      <c r="F134" s="85">
        <f t="shared" ref="F134:S134" si="19">SUM(F88:F133)</f>
        <v>4518.0529664360456</v>
      </c>
      <c r="G134" s="86">
        <f t="shared" si="19"/>
        <v>4302.9075870819488</v>
      </c>
      <c r="H134" s="86">
        <f t="shared" si="19"/>
        <v>4948.3437251442429</v>
      </c>
      <c r="I134" s="86">
        <f t="shared" si="19"/>
        <v>4555.1319984692273</v>
      </c>
      <c r="J134" s="86">
        <f t="shared" si="19"/>
        <v>4772.0430460153839</v>
      </c>
      <c r="K134" s="86">
        <f t="shared" si="19"/>
        <v>4772.0430460153839</v>
      </c>
      <c r="L134" s="87">
        <f t="shared" si="19"/>
        <v>4644.7537281937048</v>
      </c>
      <c r="M134" s="85">
        <f t="shared" si="19"/>
        <v>4725.4169284655463</v>
      </c>
      <c r="N134" s="86">
        <f t="shared" si="19"/>
        <v>5175.4566359384553</v>
      </c>
      <c r="O134" s="86">
        <f t="shared" si="19"/>
        <v>4950.4367822019994</v>
      </c>
      <c r="P134" s="86">
        <f t="shared" si="19"/>
        <v>4813.3221181859935</v>
      </c>
      <c r="Q134" s="86">
        <f t="shared" si="19"/>
        <v>5042.5279333377075</v>
      </c>
      <c r="R134" s="86">
        <f t="shared" si="19"/>
        <v>5042.5279333377075</v>
      </c>
      <c r="S134" s="88">
        <f t="shared" si="19"/>
        <v>4958.2813885779015</v>
      </c>
      <c r="U134" t="s">
        <v>201</v>
      </c>
      <c r="V134" t="s">
        <v>156</v>
      </c>
      <c r="W134">
        <v>4518.0529664360456</v>
      </c>
      <c r="X134">
        <v>4302.9075870819488</v>
      </c>
      <c r="Y134">
        <v>4948.3437251442429</v>
      </c>
      <c r="Z134">
        <v>4555.1319984692273</v>
      </c>
      <c r="AA134">
        <v>4772.0430460153839</v>
      </c>
      <c r="AB134">
        <v>4772.0430460153839</v>
      </c>
      <c r="AC134">
        <v>4644.7537281937048</v>
      </c>
      <c r="AD134">
        <v>4725.4169284655463</v>
      </c>
      <c r="AE134">
        <v>5175.4566359384553</v>
      </c>
      <c r="AF134">
        <v>4950.4367822019994</v>
      </c>
      <c r="AG134">
        <v>4813.3221181859935</v>
      </c>
      <c r="AH134">
        <v>5042.5279333377075</v>
      </c>
      <c r="AI134">
        <v>5042.5279333377075</v>
      </c>
      <c r="AJ134">
        <v>4958.2813885779015</v>
      </c>
    </row>
    <row r="135" spans="1:36">
      <c r="A135" s="71" t="s">
        <v>155</v>
      </c>
      <c r="B135" s="17" t="s">
        <v>202</v>
      </c>
      <c r="C135" s="107" t="s">
        <v>203</v>
      </c>
      <c r="D135" s="107" t="s">
        <v>203</v>
      </c>
      <c r="E135" s="90" t="str">
        <f>VLOOKUP(D135,'[46]Yield Cal Oracle (base) '!$D:$E,2,0)</f>
        <v>TEPSLB150J157M358R</v>
      </c>
      <c r="F135" s="91">
        <v>60.209634264746022</v>
      </c>
      <c r="G135" s="92">
        <v>57.342508823567634</v>
      </c>
      <c r="H135" s="92">
        <v>65.94388514710279</v>
      </c>
      <c r="I135" s="92">
        <v>59.364469937868343</v>
      </c>
      <c r="J135" s="92">
        <v>62.191349458719223</v>
      </c>
      <c r="K135" s="92">
        <v>62.191349458719223</v>
      </c>
      <c r="L135" s="93">
        <f t="shared" si="17"/>
        <v>61.207199515120543</v>
      </c>
      <c r="M135" s="91">
        <v>60.380197692436248</v>
      </c>
      <c r="N135" s="92">
        <v>66.130692710763512</v>
      </c>
      <c r="O135" s="92">
        <v>63.255445201599883</v>
      </c>
      <c r="P135" s="92">
        <v>61.39448758758143</v>
      </c>
      <c r="Q135" s="92">
        <v>64.318034615561501</v>
      </c>
      <c r="R135" s="92">
        <v>64.318034615561501</v>
      </c>
      <c r="S135" s="94">
        <f>SUM(M135:R135)/6</f>
        <v>63.299482070584013</v>
      </c>
      <c r="U135" t="s">
        <v>155</v>
      </c>
      <c r="V135" t="s">
        <v>202</v>
      </c>
      <c r="W135">
        <v>60.209634264746022</v>
      </c>
      <c r="X135">
        <v>57.342508823567634</v>
      </c>
      <c r="Y135">
        <v>65.94388514710279</v>
      </c>
      <c r="Z135">
        <v>59.364469937868343</v>
      </c>
      <c r="AA135">
        <v>62.191349458719223</v>
      </c>
      <c r="AB135">
        <v>62.191349458719223</v>
      </c>
      <c r="AC135">
        <v>61.207199515120543</v>
      </c>
      <c r="AD135">
        <v>60.380197692436248</v>
      </c>
      <c r="AE135">
        <v>66.130692710763512</v>
      </c>
      <c r="AF135">
        <v>63.255445201599883</v>
      </c>
      <c r="AG135">
        <v>61.39448758758143</v>
      </c>
      <c r="AH135">
        <v>64.318034615561501</v>
      </c>
      <c r="AI135">
        <v>64.318034615561501</v>
      </c>
      <c r="AJ135">
        <v>63.299482070584013</v>
      </c>
    </row>
    <row r="136" spans="1:36">
      <c r="A136" s="71" t="s">
        <v>155</v>
      </c>
      <c r="B136" s="17" t="s">
        <v>202</v>
      </c>
      <c r="C136" s="108" t="s">
        <v>204</v>
      </c>
      <c r="D136" s="108" t="s">
        <v>204</v>
      </c>
      <c r="E136" s="90" t="str">
        <f>VLOOKUP(D136,'[46]Yield Cal Oracle (base) '!$D:$E,2,0)</f>
        <v>TEPSLB150J157M708R</v>
      </c>
      <c r="F136" s="91">
        <v>0.61365056974335097</v>
      </c>
      <c r="G136" s="92">
        <v>0.5844291140412865</v>
      </c>
      <c r="H136" s="92">
        <v>0.67209348114747969</v>
      </c>
      <c r="I136" s="92">
        <v>0.60912723045843975</v>
      </c>
      <c r="J136" s="92">
        <v>0.63813328905169875</v>
      </c>
      <c r="K136" s="92">
        <v>0.63813328905169875</v>
      </c>
      <c r="L136" s="93">
        <f t="shared" si="17"/>
        <v>0.62592782891565912</v>
      </c>
      <c r="M136" s="91">
        <v>0.6260483882880824</v>
      </c>
      <c r="N136" s="92">
        <v>0.68567204431551876</v>
      </c>
      <c r="O136" s="92">
        <v>0.65586021630180047</v>
      </c>
      <c r="P136" s="92">
        <v>0.64085346418435529</v>
      </c>
      <c r="Q136" s="92">
        <v>0.67137029581218177</v>
      </c>
      <c r="R136" s="92">
        <v>0.67137029581218177</v>
      </c>
      <c r="S136" s="94">
        <f>SUM(M136:R136)/6</f>
        <v>0.65852911745235343</v>
      </c>
      <c r="U136" t="s">
        <v>155</v>
      </c>
      <c r="V136" t="s">
        <v>202</v>
      </c>
      <c r="W136">
        <v>0.61365056974335097</v>
      </c>
      <c r="X136">
        <v>0.5844291140412865</v>
      </c>
      <c r="Y136">
        <v>0.67209348114747969</v>
      </c>
      <c r="Z136">
        <v>0.60912723045843975</v>
      </c>
      <c r="AA136">
        <v>0.63813328905169875</v>
      </c>
      <c r="AB136">
        <v>0.63813328905169875</v>
      </c>
      <c r="AC136">
        <v>0.62592782891565912</v>
      </c>
      <c r="AD136">
        <v>0.6260483882880824</v>
      </c>
      <c r="AE136">
        <v>0.68567204431551876</v>
      </c>
      <c r="AF136">
        <v>0.65586021630180047</v>
      </c>
      <c r="AG136">
        <v>0.64085346418435529</v>
      </c>
      <c r="AH136">
        <v>0.67137029581218177</v>
      </c>
      <c r="AI136">
        <v>0.67137029581218177</v>
      </c>
      <c r="AJ136">
        <v>0.65852911745235343</v>
      </c>
    </row>
    <row r="137" spans="1:36">
      <c r="A137" s="71" t="s">
        <v>155</v>
      </c>
      <c r="B137" s="17" t="s">
        <v>202</v>
      </c>
      <c r="C137" s="108" t="s">
        <v>205</v>
      </c>
      <c r="D137" s="108" t="s">
        <v>205</v>
      </c>
      <c r="E137" s="90" t="str">
        <f>VLOOKUP(D137,'[46]Yield Cal Oracle (base) '!$D:$E,2,0)</f>
        <v>TEPSLB151E106M8R</v>
      </c>
      <c r="F137" s="91">
        <v>6.7501562671768625</v>
      </c>
      <c r="G137" s="92">
        <v>6.4287202544541548</v>
      </c>
      <c r="H137" s="92">
        <v>7.3930282926222768</v>
      </c>
      <c r="I137" s="92">
        <v>6.7003995350428394</v>
      </c>
      <c r="J137" s="92">
        <v>7.0194661795686883</v>
      </c>
      <c r="K137" s="92">
        <v>7.0194661795686883</v>
      </c>
      <c r="L137" s="93">
        <f t="shared" si="17"/>
        <v>6.8852061180722517</v>
      </c>
      <c r="M137" s="91">
        <v>6.8865322711689103</v>
      </c>
      <c r="N137" s="92">
        <v>7.5423924874707104</v>
      </c>
      <c r="O137" s="92">
        <v>7.2144623793198113</v>
      </c>
      <c r="P137" s="92">
        <v>7.049388106027914</v>
      </c>
      <c r="Q137" s="92">
        <v>7.3850732539340038</v>
      </c>
      <c r="R137" s="92">
        <v>7.3850732539340038</v>
      </c>
      <c r="S137" s="94">
        <f>SUM(M137:R137)/6</f>
        <v>7.2438202919758927</v>
      </c>
      <c r="U137" t="s">
        <v>155</v>
      </c>
      <c r="V137" t="s">
        <v>202</v>
      </c>
      <c r="W137">
        <v>6.7501562671768625</v>
      </c>
      <c r="X137">
        <v>6.4287202544541548</v>
      </c>
      <c r="Y137">
        <v>7.3930282926222768</v>
      </c>
      <c r="Z137">
        <v>6.7003995350428394</v>
      </c>
      <c r="AA137">
        <v>7.0194661795686883</v>
      </c>
      <c r="AB137">
        <v>7.0194661795686883</v>
      </c>
      <c r="AC137">
        <v>6.8852061180722517</v>
      </c>
      <c r="AD137">
        <v>6.8865322711689103</v>
      </c>
      <c r="AE137">
        <v>7.5423924874707104</v>
      </c>
      <c r="AF137">
        <v>7.2144623793198113</v>
      </c>
      <c r="AG137">
        <v>7.049388106027914</v>
      </c>
      <c r="AH137">
        <v>7.3850732539340038</v>
      </c>
      <c r="AI137">
        <v>7.3850732539340038</v>
      </c>
      <c r="AJ137">
        <v>7.2438202919758927</v>
      </c>
    </row>
    <row r="138" spans="1:36">
      <c r="A138" s="71" t="s">
        <v>155</v>
      </c>
      <c r="B138" s="17" t="s">
        <v>202</v>
      </c>
      <c r="C138" s="108" t="s">
        <v>206</v>
      </c>
      <c r="D138" s="108" t="s">
        <v>206</v>
      </c>
      <c r="E138" s="90" t="str">
        <f>VLOOKUP(D138,'[46]Yield Cal Oracle (base) '!$D:$E,2,0)</f>
        <v>TEPSLB151E106M8RLG</v>
      </c>
      <c r="F138" s="91">
        <v>2.4546022789734043</v>
      </c>
      <c r="G138" s="92">
        <v>2.3377164561651469</v>
      </c>
      <c r="H138" s="92">
        <v>2.6883739245899188</v>
      </c>
      <c r="I138" s="92">
        <v>2.4365089218337594</v>
      </c>
      <c r="J138" s="92">
        <v>2.5525331562067954</v>
      </c>
      <c r="K138" s="92">
        <v>2.5525331562067954</v>
      </c>
      <c r="L138" s="93">
        <f t="shared" si="17"/>
        <v>2.5037113156626365</v>
      </c>
      <c r="M138" s="91">
        <v>2.5041935531523305</v>
      </c>
      <c r="N138" s="92">
        <v>2.7426881772620759</v>
      </c>
      <c r="O138" s="92">
        <v>2.6234408652072032</v>
      </c>
      <c r="P138" s="92">
        <v>2.5634138567374216</v>
      </c>
      <c r="Q138" s="92">
        <v>2.6854811832487275</v>
      </c>
      <c r="R138" s="92">
        <v>2.6854811832487275</v>
      </c>
      <c r="S138" s="94">
        <f>SUM(M138:R138)/6</f>
        <v>2.6341164698094146</v>
      </c>
      <c r="U138" t="s">
        <v>155</v>
      </c>
      <c r="V138" t="s">
        <v>202</v>
      </c>
      <c r="W138">
        <v>2.4546022789734043</v>
      </c>
      <c r="X138">
        <v>2.3377164561651469</v>
      </c>
      <c r="Y138">
        <v>2.6883739245899188</v>
      </c>
      <c r="Z138">
        <v>2.4365089218337594</v>
      </c>
      <c r="AA138">
        <v>2.5525331562067954</v>
      </c>
      <c r="AB138">
        <v>2.5525331562067954</v>
      </c>
      <c r="AC138">
        <v>2.5037113156626365</v>
      </c>
      <c r="AD138">
        <v>2.5041935531523305</v>
      </c>
      <c r="AE138">
        <v>2.7426881772620759</v>
      </c>
      <c r="AF138">
        <v>2.6234408652072032</v>
      </c>
      <c r="AG138">
        <v>2.5634138567374216</v>
      </c>
      <c r="AH138">
        <v>2.6854811832487275</v>
      </c>
      <c r="AI138">
        <v>2.6854811832487275</v>
      </c>
      <c r="AJ138">
        <v>2.6341164698094146</v>
      </c>
    </row>
    <row r="139" spans="1:36">
      <c r="A139" s="71" t="s">
        <v>155</v>
      </c>
      <c r="B139" s="17" t="s">
        <v>202</v>
      </c>
      <c r="C139" s="89"/>
      <c r="D139" s="89"/>
      <c r="E139" s="46"/>
      <c r="F139" s="91"/>
      <c r="G139" s="92"/>
      <c r="H139" s="92"/>
      <c r="I139" s="92"/>
      <c r="J139" s="92"/>
      <c r="K139" s="92"/>
      <c r="L139" s="93">
        <f t="shared" si="17"/>
        <v>0</v>
      </c>
      <c r="M139" s="91"/>
      <c r="N139" s="92"/>
      <c r="O139" s="92"/>
      <c r="P139" s="92"/>
      <c r="Q139" s="92"/>
      <c r="R139" s="92"/>
      <c r="S139" s="94">
        <f>SUM(M139:R139)/6</f>
        <v>0</v>
      </c>
      <c r="U139" t="s">
        <v>155</v>
      </c>
      <c r="V139" t="s">
        <v>202</v>
      </c>
      <c r="AC139">
        <v>0</v>
      </c>
      <c r="AJ139">
        <v>0</v>
      </c>
    </row>
    <row r="140" spans="1:36">
      <c r="A140" s="81"/>
      <c r="B140" s="82" t="s">
        <v>202</v>
      </c>
      <c r="C140" s="83" t="s">
        <v>88</v>
      </c>
      <c r="D140" s="83" t="s">
        <v>88</v>
      </c>
      <c r="E140" s="84"/>
      <c r="F140" s="85">
        <f>SUM(F135:F139)</f>
        <v>70.028043380639645</v>
      </c>
      <c r="G140" s="86">
        <f t="shared" ref="G140:S140" si="20">SUM(G135:G139)</f>
        <v>66.693374648228229</v>
      </c>
      <c r="H140" s="86">
        <f t="shared" si="20"/>
        <v>76.697380845462476</v>
      </c>
      <c r="I140" s="86">
        <f t="shared" si="20"/>
        <v>69.110505625203388</v>
      </c>
      <c r="J140" s="86">
        <f t="shared" si="20"/>
        <v>72.401482083546412</v>
      </c>
      <c r="K140" s="86">
        <f t="shared" si="20"/>
        <v>72.401482083546412</v>
      </c>
      <c r="L140" s="87">
        <f t="shared" si="20"/>
        <v>71.222044777771089</v>
      </c>
      <c r="M140" s="85">
        <f t="shared" si="20"/>
        <v>70.396971905045575</v>
      </c>
      <c r="N140" s="86">
        <f t="shared" si="20"/>
        <v>77.101445419811824</v>
      </c>
      <c r="O140" s="86">
        <f t="shared" si="20"/>
        <v>73.7492086624287</v>
      </c>
      <c r="P140" s="86">
        <f t="shared" si="20"/>
        <v>71.648143014531129</v>
      </c>
      <c r="Q140" s="86">
        <f t="shared" si="20"/>
        <v>75.059959348556418</v>
      </c>
      <c r="R140" s="86">
        <f t="shared" si="20"/>
        <v>75.059959348556418</v>
      </c>
      <c r="S140" s="88">
        <f t="shared" si="20"/>
        <v>73.835947949821673</v>
      </c>
      <c r="V140" t="s">
        <v>202</v>
      </c>
      <c r="W140">
        <v>70.028043380639645</v>
      </c>
      <c r="X140">
        <v>66.693374648228229</v>
      </c>
      <c r="Y140">
        <v>76.697380845462476</v>
      </c>
      <c r="Z140">
        <v>69.110505625203388</v>
      </c>
      <c r="AA140">
        <v>72.401482083546412</v>
      </c>
      <c r="AB140">
        <v>72.401482083546412</v>
      </c>
      <c r="AC140">
        <v>71.222044777771089</v>
      </c>
      <c r="AD140">
        <v>70.396971905045575</v>
      </c>
      <c r="AE140">
        <v>77.101445419811824</v>
      </c>
      <c r="AF140">
        <v>73.7492086624287</v>
      </c>
      <c r="AG140">
        <v>71.648143014531129</v>
      </c>
      <c r="AH140">
        <v>75.059959348556418</v>
      </c>
      <c r="AI140">
        <v>75.059959348556418</v>
      </c>
      <c r="AJ140">
        <v>73.835947949821673</v>
      </c>
    </row>
    <row r="141" spans="1:36">
      <c r="A141" s="71" t="s">
        <v>207</v>
      </c>
      <c r="B141" s="17" t="s">
        <v>208</v>
      </c>
      <c r="C141" s="72" t="s">
        <v>209</v>
      </c>
      <c r="D141" s="72" t="s">
        <v>209</v>
      </c>
      <c r="E141" s="66" t="e">
        <f>VLOOKUP(D141,'[46]Yield Cal Oracle (base) '!$D:$E,2,0)</f>
        <v>#N/A</v>
      </c>
      <c r="F141" s="91">
        <v>2.8825553878550068</v>
      </c>
      <c r="G141" s="92">
        <v>2.7452908455761973</v>
      </c>
      <c r="H141" s="92">
        <v>3.157084472412627</v>
      </c>
      <c r="I141" s="92">
        <v>2.8382083818880073</v>
      </c>
      <c r="J141" s="92">
        <v>2.9733611619779121</v>
      </c>
      <c r="K141" s="92">
        <v>2.9733611619779121</v>
      </c>
      <c r="L141" s="93">
        <f t="shared" si="17"/>
        <v>2.9283102352812769</v>
      </c>
      <c r="M141" s="91">
        <v>2.8805985200393036</v>
      </c>
      <c r="N141" s="92">
        <v>3.1549412362335238</v>
      </c>
      <c r="O141" s="92">
        <v>3.0177698781364137</v>
      </c>
      <c r="P141" s="92">
        <v>2.9249154203476029</v>
      </c>
      <c r="Q141" s="92">
        <v>3.064197107030822</v>
      </c>
      <c r="R141" s="92">
        <v>3.064197107030822</v>
      </c>
      <c r="S141" s="94">
        <f t="shared" ref="S141:S205" si="21">SUM(M141:R141)/6</f>
        <v>3.0177698781364146</v>
      </c>
      <c r="U141" t="s">
        <v>210</v>
      </c>
      <c r="V141" t="s">
        <v>208</v>
      </c>
      <c r="W141">
        <v>2.8825553878550068</v>
      </c>
      <c r="X141">
        <v>2.7452908455761973</v>
      </c>
      <c r="Y141">
        <v>3.157084472412627</v>
      </c>
      <c r="Z141">
        <v>2.8382083818880073</v>
      </c>
      <c r="AA141">
        <v>2.9733611619779121</v>
      </c>
      <c r="AB141">
        <v>2.9733611619779121</v>
      </c>
      <c r="AC141">
        <v>2.9283102352812769</v>
      </c>
      <c r="AD141">
        <v>2.8805985200393036</v>
      </c>
      <c r="AE141">
        <v>3.1549412362335238</v>
      </c>
      <c r="AF141">
        <v>3.0177698781364137</v>
      </c>
      <c r="AG141">
        <v>2.9249154203476029</v>
      </c>
      <c r="AH141">
        <v>3.064197107030822</v>
      </c>
      <c r="AI141">
        <v>3.064197107030822</v>
      </c>
      <c r="AJ141">
        <v>3.0177698781364146</v>
      </c>
    </row>
    <row r="142" spans="1:36">
      <c r="A142" s="71" t="s">
        <v>207</v>
      </c>
      <c r="B142" s="17" t="s">
        <v>208</v>
      </c>
      <c r="C142" s="72" t="s">
        <v>211</v>
      </c>
      <c r="D142" s="72" t="s">
        <v>211</v>
      </c>
      <c r="E142" s="66" t="e">
        <f>VLOOKUP(D142,'[46]Yield Cal Oracle (base) '!$D:$E,2,0)</f>
        <v>#N/A</v>
      </c>
      <c r="F142" s="91">
        <v>2.5946711789160322</v>
      </c>
      <c r="G142" s="92">
        <v>2.4711154084914591</v>
      </c>
      <c r="H142" s="92">
        <v>2.8417827197651779</v>
      </c>
      <c r="I142" s="92">
        <v>2.5547531607788625</v>
      </c>
      <c r="J142" s="92">
        <v>2.6764080731969035</v>
      </c>
      <c r="K142" s="92">
        <v>2.6764080731969035</v>
      </c>
      <c r="L142" s="93">
        <f t="shared" si="17"/>
        <v>2.6358564357242229</v>
      </c>
      <c r="M142" s="91">
        <v>2.5928987454623078</v>
      </c>
      <c r="N142" s="92">
        <v>2.8398414831253849</v>
      </c>
      <c r="O142" s="92">
        <v>2.7163701142938468</v>
      </c>
      <c r="P142" s="92">
        <v>2.6327894953924984</v>
      </c>
      <c r="Q142" s="92">
        <v>2.7581604237445227</v>
      </c>
      <c r="R142" s="92">
        <v>2.7581604237445227</v>
      </c>
      <c r="S142" s="94">
        <f t="shared" si="21"/>
        <v>2.7163701142938468</v>
      </c>
      <c r="U142" t="s">
        <v>210</v>
      </c>
      <c r="V142" t="s">
        <v>208</v>
      </c>
      <c r="W142">
        <v>2.5946711789160322</v>
      </c>
      <c r="X142">
        <v>2.4711154084914591</v>
      </c>
      <c r="Y142">
        <v>2.8417827197651779</v>
      </c>
      <c r="Z142">
        <v>2.5547531607788625</v>
      </c>
      <c r="AA142">
        <v>2.6764080731969035</v>
      </c>
      <c r="AB142">
        <v>2.6764080731969035</v>
      </c>
      <c r="AC142">
        <v>2.6358564357242229</v>
      </c>
      <c r="AD142">
        <v>2.5928987454623078</v>
      </c>
      <c r="AE142">
        <v>2.8398414831253849</v>
      </c>
      <c r="AF142">
        <v>2.7163701142938468</v>
      </c>
      <c r="AG142">
        <v>2.6327894953924984</v>
      </c>
      <c r="AH142">
        <v>2.7581604237445227</v>
      </c>
      <c r="AI142">
        <v>2.7581604237445227</v>
      </c>
      <c r="AJ142">
        <v>2.7163701142938468</v>
      </c>
    </row>
    <row r="143" spans="1:36">
      <c r="A143" s="71" t="s">
        <v>212</v>
      </c>
      <c r="B143" s="17" t="s">
        <v>208</v>
      </c>
      <c r="C143" s="72" t="s">
        <v>213</v>
      </c>
      <c r="D143" s="72" t="s">
        <v>213</v>
      </c>
      <c r="E143" s="66" t="e">
        <f>VLOOKUP(D143,'[46]Yield Cal Oracle (base) '!$D:$E,2,0)</f>
        <v>#N/A</v>
      </c>
      <c r="F143" s="91">
        <v>26.01878415711808</v>
      </c>
      <c r="G143" s="92">
        <v>24.779794435350553</v>
      </c>
      <c r="H143" s="92">
        <v>28.496763600653136</v>
      </c>
      <c r="I143" s="92">
        <v>25.826994571437844</v>
      </c>
      <c r="J143" s="92">
        <v>27.056851455792028</v>
      </c>
      <c r="K143" s="92">
        <v>27.056851455792028</v>
      </c>
      <c r="L143" s="93">
        <f t="shared" si="17"/>
        <v>26.539339946023944</v>
      </c>
      <c r="M143" s="91">
        <v>26.544451663414705</v>
      </c>
      <c r="N143" s="92">
        <v>29.072494678978011</v>
      </c>
      <c r="O143" s="92">
        <v>27.808473171196358</v>
      </c>
      <c r="P143" s="92">
        <v>27.172186881416682</v>
      </c>
      <c r="Q143" s="92">
        <v>28.466100542436521</v>
      </c>
      <c r="R143" s="92">
        <v>28.466100542436521</v>
      </c>
      <c r="S143" s="94">
        <f t="shared" si="21"/>
        <v>27.921634579979798</v>
      </c>
      <c r="U143" t="s">
        <v>214</v>
      </c>
      <c r="V143" t="s">
        <v>208</v>
      </c>
      <c r="W143">
        <v>26.01878415711808</v>
      </c>
      <c r="X143">
        <v>24.779794435350553</v>
      </c>
      <c r="Y143">
        <v>28.496763600653136</v>
      </c>
      <c r="Z143">
        <v>25.826994571437844</v>
      </c>
      <c r="AA143">
        <v>27.056851455792028</v>
      </c>
      <c r="AB143">
        <v>27.056851455792028</v>
      </c>
      <c r="AC143">
        <v>26.539339946023944</v>
      </c>
      <c r="AD143">
        <v>26.544451663414705</v>
      </c>
      <c r="AE143">
        <v>29.072494678978011</v>
      </c>
      <c r="AF143">
        <v>27.808473171196358</v>
      </c>
      <c r="AG143">
        <v>27.172186881416682</v>
      </c>
      <c r="AH143">
        <v>28.466100542436521</v>
      </c>
      <c r="AI143">
        <v>28.466100542436521</v>
      </c>
      <c r="AJ143">
        <v>27.921634579979798</v>
      </c>
    </row>
    <row r="144" spans="1:36">
      <c r="A144" s="71" t="s">
        <v>215</v>
      </c>
      <c r="B144" s="17" t="s">
        <v>208</v>
      </c>
      <c r="C144" s="89" t="s">
        <v>216</v>
      </c>
      <c r="D144" s="89" t="s">
        <v>216</v>
      </c>
      <c r="E144" s="90" t="str">
        <f>VLOOKUP(D144,'[46]Yield Cal Oracle (base) '!$D:$E,2,0)</f>
        <v>TEPSGB20E337M9-8R</v>
      </c>
      <c r="F144" s="91">
        <v>7805.597443182658</v>
      </c>
      <c r="G144" s="92">
        <v>7433.902326840629</v>
      </c>
      <c r="H144" s="92">
        <v>8548.9876758667233</v>
      </c>
      <c r="I144" s="92">
        <v>8434.0642476171324</v>
      </c>
      <c r="J144" s="92">
        <v>8835.6863546465211</v>
      </c>
      <c r="K144" s="92">
        <v>8835.6863546465211</v>
      </c>
      <c r="L144" s="93">
        <f t="shared" si="17"/>
        <v>8315.6540671333642</v>
      </c>
      <c r="M144" s="91">
        <v>8844.9931574349557</v>
      </c>
      <c r="N144" s="92">
        <v>9687.3734581430472</v>
      </c>
      <c r="O144" s="92">
        <v>9266.1833077890024</v>
      </c>
      <c r="P144" s="92">
        <v>8952.1204199316817</v>
      </c>
      <c r="Q144" s="92">
        <v>9378.4118684998557</v>
      </c>
      <c r="R144" s="92">
        <v>9378.4118684998557</v>
      </c>
      <c r="S144" s="94">
        <f t="shared" si="21"/>
        <v>9251.2490133830652</v>
      </c>
      <c r="U144" t="s">
        <v>215</v>
      </c>
      <c r="V144" t="s">
        <v>208</v>
      </c>
      <c r="W144">
        <v>7805.597443182658</v>
      </c>
      <c r="X144">
        <v>7433.902326840629</v>
      </c>
      <c r="Y144">
        <v>8548.9876758667233</v>
      </c>
      <c r="Z144">
        <v>8434.0642476171324</v>
      </c>
      <c r="AA144">
        <v>8835.6863546465211</v>
      </c>
      <c r="AB144">
        <v>8835.6863546465211</v>
      </c>
      <c r="AC144">
        <v>8315.6540671333642</v>
      </c>
      <c r="AD144">
        <v>8844.9931574349557</v>
      </c>
      <c r="AE144">
        <v>9687.3734581430472</v>
      </c>
      <c r="AF144">
        <v>9266.1833077890024</v>
      </c>
      <c r="AG144">
        <v>8952.1204199316817</v>
      </c>
      <c r="AH144">
        <v>9378.4118684998557</v>
      </c>
      <c r="AI144">
        <v>9378.4118684998557</v>
      </c>
      <c r="AJ144">
        <v>9251.2490133830652</v>
      </c>
    </row>
    <row r="145" spans="1:36">
      <c r="A145" s="71" t="s">
        <v>215</v>
      </c>
      <c r="B145" s="17" t="s">
        <v>208</v>
      </c>
      <c r="C145" s="89" t="s">
        <v>217</v>
      </c>
      <c r="D145" s="89" t="s">
        <v>217</v>
      </c>
      <c r="E145" s="90" t="str">
        <f>VLOOKUP(D145,'[46]Yield Cal Oracle (base) '!$D:$E,2,0)</f>
        <v>TEPSGB20E337M9-8RF</v>
      </c>
      <c r="F145" s="91">
        <v>270.00625068707444</v>
      </c>
      <c r="G145" s="92">
        <v>257.14881017816617</v>
      </c>
      <c r="H145" s="92">
        <v>295.72113170489109</v>
      </c>
      <c r="I145" s="92">
        <v>268.01598140171353</v>
      </c>
      <c r="J145" s="92">
        <v>280.77864718274748</v>
      </c>
      <c r="K145" s="92">
        <v>280.77864718274748</v>
      </c>
      <c r="L145" s="93">
        <f t="shared" si="17"/>
        <v>275.40824472289006</v>
      </c>
      <c r="M145" s="91">
        <v>275.4612908467563</v>
      </c>
      <c r="N145" s="92">
        <v>301.69569949882833</v>
      </c>
      <c r="O145" s="92">
        <v>288.57849517279237</v>
      </c>
      <c r="P145" s="92">
        <v>281.97552424111643</v>
      </c>
      <c r="Q145" s="92">
        <v>295.40293015736006</v>
      </c>
      <c r="R145" s="92">
        <v>295.40293015736006</v>
      </c>
      <c r="S145" s="94">
        <f t="shared" si="21"/>
        <v>289.75281167903557</v>
      </c>
      <c r="U145" t="s">
        <v>215</v>
      </c>
      <c r="V145" t="s">
        <v>208</v>
      </c>
      <c r="W145">
        <v>270.00625068707444</v>
      </c>
      <c r="X145">
        <v>257.14881017816617</v>
      </c>
      <c r="Y145">
        <v>295.72113170489109</v>
      </c>
      <c r="Z145">
        <v>268.01598140171353</v>
      </c>
      <c r="AA145">
        <v>280.77864718274748</v>
      </c>
      <c r="AB145">
        <v>280.77864718274748</v>
      </c>
      <c r="AC145">
        <v>275.40824472289006</v>
      </c>
      <c r="AD145">
        <v>275.4612908467563</v>
      </c>
      <c r="AE145">
        <v>301.69569949882833</v>
      </c>
      <c r="AF145">
        <v>288.57849517279237</v>
      </c>
      <c r="AG145">
        <v>281.97552424111643</v>
      </c>
      <c r="AH145">
        <v>295.40293015736006</v>
      </c>
      <c r="AI145">
        <v>295.40293015736006</v>
      </c>
      <c r="AJ145">
        <v>289.75281167903557</v>
      </c>
    </row>
    <row r="146" spans="1:36">
      <c r="A146" s="71" t="s">
        <v>215</v>
      </c>
      <c r="B146" s="17" t="s">
        <v>208</v>
      </c>
      <c r="C146" s="72" t="s">
        <v>218</v>
      </c>
      <c r="D146" s="72" t="s">
        <v>218</v>
      </c>
      <c r="E146" s="66" t="e">
        <f>VLOOKUP(D146,'[46]Yield Cal Oracle (base) '!$D:$E,2,0)</f>
        <v>#N/A</v>
      </c>
      <c r="F146" s="91">
        <v>367.65395868425111</v>
      </c>
      <c r="G146" s="92">
        <v>350.14662731833437</v>
      </c>
      <c r="H146" s="92">
        <v>402.66862141608459</v>
      </c>
      <c r="I146" s="92">
        <v>402.9377532760015</v>
      </c>
      <c r="J146" s="92">
        <v>422.12526533676345</v>
      </c>
      <c r="K146" s="92">
        <v>422.12526533676345</v>
      </c>
      <c r="L146" s="93">
        <f t="shared" si="17"/>
        <v>394.60958189469972</v>
      </c>
      <c r="M146" s="91">
        <v>453.27016168836991</v>
      </c>
      <c r="N146" s="92">
        <v>496.43874851583377</v>
      </c>
      <c r="O146" s="92">
        <v>474.85445510210178</v>
      </c>
      <c r="P146" s="92">
        <v>459.34870430733361</v>
      </c>
      <c r="Q146" s="92">
        <v>481.22245213149239</v>
      </c>
      <c r="R146" s="92">
        <v>481.22245213149239</v>
      </c>
      <c r="S146" s="94">
        <f t="shared" si="21"/>
        <v>474.39282897943735</v>
      </c>
      <c r="U146" t="s">
        <v>215</v>
      </c>
      <c r="V146" t="s">
        <v>208</v>
      </c>
      <c r="W146">
        <v>367.65395868425111</v>
      </c>
      <c r="X146">
        <v>350.14662731833437</v>
      </c>
      <c r="Y146">
        <v>402.66862141608459</v>
      </c>
      <c r="Z146">
        <v>402.9377532760015</v>
      </c>
      <c r="AA146">
        <v>422.12526533676345</v>
      </c>
      <c r="AB146">
        <v>422.12526533676345</v>
      </c>
      <c r="AC146">
        <v>394.60958189469972</v>
      </c>
      <c r="AD146">
        <v>453.27016168836991</v>
      </c>
      <c r="AE146">
        <v>496.43874851583377</v>
      </c>
      <c r="AF146">
        <v>474.85445510210178</v>
      </c>
      <c r="AG146">
        <v>459.34870430733361</v>
      </c>
      <c r="AH146">
        <v>481.22245213149239</v>
      </c>
      <c r="AI146">
        <v>481.22245213149239</v>
      </c>
      <c r="AJ146">
        <v>474.39282897943735</v>
      </c>
    </row>
    <row r="147" spans="1:36">
      <c r="A147" s="71" t="s">
        <v>215</v>
      </c>
      <c r="B147" s="17" t="s">
        <v>208</v>
      </c>
      <c r="C147" s="72" t="s">
        <v>219</v>
      </c>
      <c r="D147" s="72" t="s">
        <v>219</v>
      </c>
      <c r="E147" s="66" t="e">
        <f>VLOOKUP(D147,'[46]Yield Cal Oracle (base) '!$D:$E,2,0)</f>
        <v>#N/A</v>
      </c>
      <c r="F147" s="91">
        <v>130.20928703954209</v>
      </c>
      <c r="G147" s="92">
        <v>124.0088447995639</v>
      </c>
      <c r="H147" s="92">
        <v>142.61017151949849</v>
      </c>
      <c r="I147" s="92">
        <v>139.86116426065499</v>
      </c>
      <c r="J147" s="92">
        <v>146.52121970163856</v>
      </c>
      <c r="K147" s="92">
        <v>146.52121970163856</v>
      </c>
      <c r="L147" s="93">
        <f t="shared" si="17"/>
        <v>138.28865117042275</v>
      </c>
      <c r="M147" s="91">
        <v>157.50022160880781</v>
      </c>
      <c r="N147" s="92">
        <v>172.50024271440856</v>
      </c>
      <c r="O147" s="92">
        <v>165.00023216160818</v>
      </c>
      <c r="P147" s="92">
        <v>159.923301941251</v>
      </c>
      <c r="Q147" s="92">
        <v>167.53869727178679</v>
      </c>
      <c r="R147" s="92">
        <v>167.53869727178679</v>
      </c>
      <c r="S147" s="94">
        <f t="shared" si="21"/>
        <v>165.00023216160818</v>
      </c>
      <c r="U147" t="s">
        <v>215</v>
      </c>
      <c r="V147" t="s">
        <v>208</v>
      </c>
      <c r="W147">
        <v>130.20928703954209</v>
      </c>
      <c r="X147">
        <v>124.0088447995639</v>
      </c>
      <c r="Y147">
        <v>142.61017151949849</v>
      </c>
      <c r="Z147">
        <v>139.86116426065499</v>
      </c>
      <c r="AA147">
        <v>146.52121970163856</v>
      </c>
      <c r="AB147">
        <v>146.52121970163856</v>
      </c>
      <c r="AC147">
        <v>138.28865117042275</v>
      </c>
      <c r="AD147">
        <v>157.50022160880781</v>
      </c>
      <c r="AE147">
        <v>172.50024271440856</v>
      </c>
      <c r="AF147">
        <v>165.00023216160818</v>
      </c>
      <c r="AG147">
        <v>159.923301941251</v>
      </c>
      <c r="AH147">
        <v>167.53869727178679</v>
      </c>
      <c r="AI147">
        <v>167.53869727178679</v>
      </c>
      <c r="AJ147">
        <v>165.00023216160818</v>
      </c>
    </row>
    <row r="148" spans="1:36">
      <c r="A148" s="71" t="s">
        <v>215</v>
      </c>
      <c r="B148" s="17" t="s">
        <v>208</v>
      </c>
      <c r="C148" s="89" t="s">
        <v>220</v>
      </c>
      <c r="D148" s="89" t="s">
        <v>220</v>
      </c>
      <c r="E148" s="90" t="str">
        <f>VLOOKUP(D148,'[46]Yield Cal Oracle (base) '!$D:$E,2,0)</f>
        <v>TEPSGB20E337M9-8RLG</v>
      </c>
      <c r="F148" s="91">
        <v>156.35816517060587</v>
      </c>
      <c r="G148" s="92">
        <v>148.91253825771989</v>
      </c>
      <c r="H148" s="92">
        <v>171.24941899637784</v>
      </c>
      <c r="I148" s="92">
        <v>155.20561832081046</v>
      </c>
      <c r="J148" s="92">
        <v>162.59636205037287</v>
      </c>
      <c r="K148" s="92">
        <v>162.59636205037287</v>
      </c>
      <c r="L148" s="93">
        <f t="shared" si="17"/>
        <v>159.48641080770994</v>
      </c>
      <c r="M148" s="91">
        <v>159.51712933580347</v>
      </c>
      <c r="N148" s="92">
        <v>174.70923689159426</v>
      </c>
      <c r="O148" s="92">
        <v>167.11318311369885</v>
      </c>
      <c r="P148" s="92">
        <v>163.28946267417379</v>
      </c>
      <c r="Q148" s="92">
        <v>171.06515137294397</v>
      </c>
      <c r="R148" s="92">
        <v>171.06515137294397</v>
      </c>
      <c r="S148" s="94">
        <f t="shared" si="21"/>
        <v>167.79321912685973</v>
      </c>
      <c r="U148" t="s">
        <v>215</v>
      </c>
      <c r="V148" t="s">
        <v>208</v>
      </c>
      <c r="W148">
        <v>156.35816517060587</v>
      </c>
      <c r="X148">
        <v>148.91253825771989</v>
      </c>
      <c r="Y148">
        <v>171.24941899637784</v>
      </c>
      <c r="Z148">
        <v>155.20561832081046</v>
      </c>
      <c r="AA148">
        <v>162.59636205037287</v>
      </c>
      <c r="AB148">
        <v>162.59636205037287</v>
      </c>
      <c r="AC148">
        <v>159.48641080770994</v>
      </c>
      <c r="AD148">
        <v>159.51712933580347</v>
      </c>
      <c r="AE148">
        <v>174.70923689159426</v>
      </c>
      <c r="AF148">
        <v>167.11318311369885</v>
      </c>
      <c r="AG148">
        <v>163.28946267417379</v>
      </c>
      <c r="AH148">
        <v>171.06515137294397</v>
      </c>
      <c r="AI148">
        <v>171.06515137294397</v>
      </c>
      <c r="AJ148">
        <v>167.79321912685973</v>
      </c>
    </row>
    <row r="149" spans="1:36">
      <c r="A149" s="71" t="s">
        <v>215</v>
      </c>
      <c r="B149" s="17" t="s">
        <v>208</v>
      </c>
      <c r="C149" s="89" t="s">
        <v>221</v>
      </c>
      <c r="D149" s="89" t="s">
        <v>221</v>
      </c>
      <c r="E149" s="90" t="str">
        <f>VLOOKUP(D149,'[46]Yield Cal Oracle (base) '!$D:$E,2,0)</f>
        <v>TEPSGB20E337M9HF8R</v>
      </c>
      <c r="F149" s="91">
        <v>934.55429934840242</v>
      </c>
      <c r="G149" s="92">
        <v>890.05171366514514</v>
      </c>
      <c r="H149" s="92">
        <v>1023.5594707149169</v>
      </c>
      <c r="I149" s="92">
        <v>882.23111653000672</v>
      </c>
      <c r="J149" s="92">
        <v>924.24212207905464</v>
      </c>
      <c r="K149" s="92">
        <v>924.24212207905464</v>
      </c>
      <c r="L149" s="93">
        <f t="shared" si="17"/>
        <v>929.81347406942996</v>
      </c>
      <c r="M149" s="91">
        <v>920.99581710480993</v>
      </c>
      <c r="N149" s="92">
        <v>1008.7097044481252</v>
      </c>
      <c r="O149" s="92">
        <v>964.85276077646768</v>
      </c>
      <c r="P149" s="92">
        <v>987.47717753503366</v>
      </c>
      <c r="Q149" s="92">
        <v>1034.4999002747973</v>
      </c>
      <c r="R149" s="92">
        <v>1034.4999002747973</v>
      </c>
      <c r="S149" s="94">
        <f t="shared" si="21"/>
        <v>991.83921006900516</v>
      </c>
      <c r="U149" t="s">
        <v>215</v>
      </c>
      <c r="V149" t="s">
        <v>208</v>
      </c>
      <c r="W149">
        <v>934.55429934840242</v>
      </c>
      <c r="X149">
        <v>890.05171366514514</v>
      </c>
      <c r="Y149">
        <v>1023.5594707149169</v>
      </c>
      <c r="Z149">
        <v>882.23111653000672</v>
      </c>
      <c r="AA149">
        <v>924.24212207905464</v>
      </c>
      <c r="AB149">
        <v>924.24212207905464</v>
      </c>
      <c r="AC149">
        <v>929.81347406942996</v>
      </c>
      <c r="AD149">
        <v>920.99581710480993</v>
      </c>
      <c r="AE149">
        <v>1008.7097044481252</v>
      </c>
      <c r="AF149">
        <v>964.85276077646768</v>
      </c>
      <c r="AG149">
        <v>987.47717753503366</v>
      </c>
      <c r="AH149">
        <v>1034.4999002747973</v>
      </c>
      <c r="AI149">
        <v>1034.4999002747973</v>
      </c>
      <c r="AJ149">
        <v>991.83921006900516</v>
      </c>
    </row>
    <row r="150" spans="1:36">
      <c r="A150" s="71" t="s">
        <v>155</v>
      </c>
      <c r="B150" s="17" t="s">
        <v>208</v>
      </c>
      <c r="C150" s="89" t="s">
        <v>222</v>
      </c>
      <c r="D150" s="89" t="s">
        <v>222</v>
      </c>
      <c r="E150" s="90" t="str">
        <f>VLOOKUP(D150,'[46]Yield Cal Oracle (base) '!$D:$E,2,0)</f>
        <v>TEPSLB20E227M158R</v>
      </c>
      <c r="F150" s="91">
        <v>313.29248203102924</v>
      </c>
      <c r="G150" s="92">
        <v>298.373792410504</v>
      </c>
      <c r="H150" s="92">
        <v>343.12986127207967</v>
      </c>
      <c r="I150" s="92">
        <v>308.6732291915049</v>
      </c>
      <c r="J150" s="92">
        <v>323.3719543911003</v>
      </c>
      <c r="K150" s="92">
        <v>323.3719543911003</v>
      </c>
      <c r="L150" s="93">
        <f t="shared" si="17"/>
        <v>318.36887894788634</v>
      </c>
      <c r="M150" s="91">
        <v>313.60262624608401</v>
      </c>
      <c r="N150" s="92">
        <v>343.46954303142536</v>
      </c>
      <c r="O150" s="92">
        <v>328.53608463875469</v>
      </c>
      <c r="P150" s="92">
        <v>318.63836337348181</v>
      </c>
      <c r="Q150" s="92">
        <v>333.81161877221899</v>
      </c>
      <c r="R150" s="92">
        <v>333.81161877221899</v>
      </c>
      <c r="S150" s="94">
        <f t="shared" si="21"/>
        <v>328.6449758056973</v>
      </c>
      <c r="U150" t="s">
        <v>155</v>
      </c>
      <c r="V150" t="s">
        <v>208</v>
      </c>
      <c r="W150">
        <v>313.29248203102924</v>
      </c>
      <c r="X150">
        <v>298.373792410504</v>
      </c>
      <c r="Y150">
        <v>343.12986127207967</v>
      </c>
      <c r="Z150">
        <v>308.6732291915049</v>
      </c>
      <c r="AA150">
        <v>323.3719543911003</v>
      </c>
      <c r="AB150">
        <v>323.3719543911003</v>
      </c>
      <c r="AC150">
        <v>318.36887894788634</v>
      </c>
      <c r="AD150">
        <v>313.60262624608401</v>
      </c>
      <c r="AE150">
        <v>343.46954303142536</v>
      </c>
      <c r="AF150">
        <v>328.53608463875469</v>
      </c>
      <c r="AG150">
        <v>318.63836337348181</v>
      </c>
      <c r="AH150">
        <v>333.81161877221899</v>
      </c>
      <c r="AI150">
        <v>333.81161877221899</v>
      </c>
      <c r="AJ150">
        <v>328.6449758056973</v>
      </c>
    </row>
    <row r="151" spans="1:36">
      <c r="A151" s="71" t="s">
        <v>155</v>
      </c>
      <c r="B151" s="17" t="s">
        <v>208</v>
      </c>
      <c r="C151" s="72" t="s">
        <v>223</v>
      </c>
      <c r="D151" s="72" t="s">
        <v>223</v>
      </c>
      <c r="E151" s="66" t="e">
        <f>VLOOKUP(D151,'[46]Yield Cal Oracle (base) '!$D:$E,2,0)</f>
        <v>#N/A</v>
      </c>
      <c r="F151" s="91">
        <v>3.5033888889562901</v>
      </c>
      <c r="G151" s="92">
        <v>3.336560846625038</v>
      </c>
      <c r="H151" s="92">
        <v>3.8370449736187933</v>
      </c>
      <c r="I151" s="92">
        <v>3.7630806527530494</v>
      </c>
      <c r="J151" s="92">
        <v>3.9422749695508132</v>
      </c>
      <c r="K151" s="92">
        <v>3.9422749695508132</v>
      </c>
      <c r="L151" s="93">
        <f t="shared" si="17"/>
        <v>3.7207708835091324</v>
      </c>
      <c r="M151" s="91">
        <v>4.2376741240037976</v>
      </c>
      <c r="N151" s="92">
        <v>4.6412621358136832</v>
      </c>
      <c r="O151" s="92">
        <v>4.4394681299087404</v>
      </c>
      <c r="P151" s="92">
        <v>4.3028691105269328</v>
      </c>
      <c r="Q151" s="92">
        <v>4.5077676395996438</v>
      </c>
      <c r="R151" s="92">
        <v>4.5077676395996438</v>
      </c>
      <c r="S151" s="94">
        <f t="shared" si="21"/>
        <v>4.4394681299087395</v>
      </c>
      <c r="U151" t="s">
        <v>155</v>
      </c>
      <c r="V151" t="s">
        <v>208</v>
      </c>
      <c r="W151">
        <v>3.5033888889562901</v>
      </c>
      <c r="X151">
        <v>3.336560846625038</v>
      </c>
      <c r="Y151">
        <v>3.8370449736187933</v>
      </c>
      <c r="Z151">
        <v>3.7630806527530494</v>
      </c>
      <c r="AA151">
        <v>3.9422749695508132</v>
      </c>
      <c r="AB151">
        <v>3.9422749695508132</v>
      </c>
      <c r="AC151">
        <v>3.7207708835091324</v>
      </c>
      <c r="AD151">
        <v>4.2376741240037976</v>
      </c>
      <c r="AE151">
        <v>4.6412621358136832</v>
      </c>
      <c r="AF151">
        <v>4.4394681299087404</v>
      </c>
      <c r="AG151">
        <v>4.3028691105269328</v>
      </c>
      <c r="AH151">
        <v>4.5077676395996438</v>
      </c>
      <c r="AI151">
        <v>4.5077676395996438</v>
      </c>
      <c r="AJ151">
        <v>4.4394681299087395</v>
      </c>
    </row>
    <row r="152" spans="1:36">
      <c r="A152" s="71" t="s">
        <v>155</v>
      </c>
      <c r="B152" s="17" t="s">
        <v>208</v>
      </c>
      <c r="C152" s="89" t="s">
        <v>224</v>
      </c>
      <c r="D152" s="89" t="s">
        <v>224</v>
      </c>
      <c r="E152" s="90" t="str">
        <f>VLOOKUP(D152,'[46]Yield Cal Oracle (base) '!$D:$E,2,0)</f>
        <v>TEPSLB20E227M358R</v>
      </c>
      <c r="F152" s="91">
        <v>110.02802519428489</v>
      </c>
      <c r="G152" s="92">
        <v>104.7885954231285</v>
      </c>
      <c r="H152" s="92">
        <v>120.50688473659775</v>
      </c>
      <c r="I152" s="92">
        <v>108.33922029611097</v>
      </c>
      <c r="J152" s="92">
        <v>113.49823078640196</v>
      </c>
      <c r="K152" s="92">
        <v>113.49823078640196</v>
      </c>
      <c r="L152" s="93">
        <f t="shared" si="17"/>
        <v>111.77653120382099</v>
      </c>
      <c r="M152" s="91">
        <v>109.96358247212399</v>
      </c>
      <c r="N152" s="92">
        <v>120.43630461232628</v>
      </c>
      <c r="O152" s="92">
        <v>115.19994354222513</v>
      </c>
      <c r="P152" s="92">
        <v>111.65946874455634</v>
      </c>
      <c r="Q152" s="92">
        <v>116.97658630382092</v>
      </c>
      <c r="R152" s="92">
        <v>116.97658630382092</v>
      </c>
      <c r="S152" s="94">
        <f t="shared" si="21"/>
        <v>115.20207866314558</v>
      </c>
      <c r="U152" t="s">
        <v>155</v>
      </c>
      <c r="V152" t="s">
        <v>208</v>
      </c>
      <c r="W152">
        <v>110.02802519428489</v>
      </c>
      <c r="X152">
        <v>104.7885954231285</v>
      </c>
      <c r="Y152">
        <v>120.50688473659775</v>
      </c>
      <c r="Z152">
        <v>108.33922029611097</v>
      </c>
      <c r="AA152">
        <v>113.49823078640196</v>
      </c>
      <c r="AB152">
        <v>113.49823078640196</v>
      </c>
      <c r="AC152">
        <v>111.77653120382099</v>
      </c>
      <c r="AD152">
        <v>109.96358247212399</v>
      </c>
      <c r="AE152">
        <v>120.43630461232628</v>
      </c>
      <c r="AF152">
        <v>115.19994354222513</v>
      </c>
      <c r="AG152">
        <v>111.65946874455634</v>
      </c>
      <c r="AH152">
        <v>116.97658630382092</v>
      </c>
      <c r="AI152">
        <v>116.97658630382092</v>
      </c>
      <c r="AJ152">
        <v>115.20207866314558</v>
      </c>
    </row>
    <row r="153" spans="1:36">
      <c r="A153" s="71" t="s">
        <v>155</v>
      </c>
      <c r="B153" s="17" t="s">
        <v>208</v>
      </c>
      <c r="C153" s="89" t="s">
        <v>225</v>
      </c>
      <c r="D153" s="89" t="s">
        <v>225</v>
      </c>
      <c r="E153" s="90" t="str">
        <f>VLOOKUP(D153,'[46]Yield Cal Oracle (base) '!$D:$E,2,0)</f>
        <v>TEPSLB20E337M13HF8R</v>
      </c>
      <c r="F153" s="91">
        <v>2.4894893429632452</v>
      </c>
      <c r="G153" s="92">
        <v>2.3709422313935669</v>
      </c>
      <c r="H153" s="92">
        <v>2.7265835661026023</v>
      </c>
      <c r="I153" s="92">
        <v>2.3501095272509502</v>
      </c>
      <c r="J153" s="92">
        <v>2.4620195047390903</v>
      </c>
      <c r="K153" s="92">
        <v>2.4620195047390903</v>
      </c>
      <c r="L153" s="93">
        <f t="shared" si="17"/>
        <v>2.476860612864757</v>
      </c>
      <c r="M153" s="91">
        <v>2.4533719155695519</v>
      </c>
      <c r="N153" s="92">
        <v>2.6870263837190338</v>
      </c>
      <c r="O153" s="92">
        <v>2.5701991496442931</v>
      </c>
      <c r="P153" s="92">
        <v>2.6304666423415921</v>
      </c>
      <c r="Q153" s="92">
        <v>2.7557269586435722</v>
      </c>
      <c r="R153" s="92">
        <v>2.7557269586435722</v>
      </c>
      <c r="S153" s="94">
        <f t="shared" si="21"/>
        <v>2.6420863347602697</v>
      </c>
      <c r="U153" t="s">
        <v>155</v>
      </c>
      <c r="V153" t="s">
        <v>208</v>
      </c>
      <c r="W153">
        <v>2.4894893429632452</v>
      </c>
      <c r="X153">
        <v>2.3709422313935669</v>
      </c>
      <c r="Y153">
        <v>2.7265835661026023</v>
      </c>
      <c r="Z153">
        <v>2.3501095272509502</v>
      </c>
      <c r="AA153">
        <v>2.4620195047390903</v>
      </c>
      <c r="AB153">
        <v>2.4620195047390903</v>
      </c>
      <c r="AC153">
        <v>2.476860612864757</v>
      </c>
      <c r="AD153">
        <v>2.4533719155695519</v>
      </c>
      <c r="AE153">
        <v>2.6870263837190338</v>
      </c>
      <c r="AF153">
        <v>2.5701991496442931</v>
      </c>
      <c r="AG153">
        <v>2.6304666423415921</v>
      </c>
      <c r="AH153">
        <v>2.7557269586435722</v>
      </c>
      <c r="AI153">
        <v>2.7557269586435722</v>
      </c>
      <c r="AJ153">
        <v>2.6420863347602697</v>
      </c>
    </row>
    <row r="154" spans="1:36">
      <c r="A154" s="71" t="s">
        <v>155</v>
      </c>
      <c r="B154" s="17" t="s">
        <v>208</v>
      </c>
      <c r="C154" s="89" t="s">
        <v>226</v>
      </c>
      <c r="D154" s="89" t="s">
        <v>226</v>
      </c>
      <c r="E154" s="90" t="str">
        <f>VLOOKUP(D154,'[46]Yield Cal Oracle (base) '!$D:$E,2,0)</f>
        <v>TEPSLB20E337M158R</v>
      </c>
      <c r="F154" s="91">
        <v>634.47702206266672</v>
      </c>
      <c r="G154" s="92">
        <v>604.26383053587313</v>
      </c>
      <c r="H154" s="92">
        <v>694.90340511625402</v>
      </c>
      <c r="I154" s="92">
        <v>624.83385563692377</v>
      </c>
      <c r="J154" s="92">
        <v>654.5878487624916</v>
      </c>
      <c r="K154" s="92">
        <v>654.5878487624916</v>
      </c>
      <c r="L154" s="93">
        <f t="shared" si="17"/>
        <v>644.60896847945003</v>
      </c>
      <c r="M154" s="91">
        <v>634.35384312736414</v>
      </c>
      <c r="N154" s="92">
        <v>694.76849485377977</v>
      </c>
      <c r="O154" s="92">
        <v>664.56116899057201</v>
      </c>
      <c r="P154" s="92">
        <v>644.23729851515873</v>
      </c>
      <c r="Q154" s="92">
        <v>674.91526511111863</v>
      </c>
      <c r="R154" s="92">
        <v>674.91526511111863</v>
      </c>
      <c r="S154" s="94">
        <f t="shared" si="21"/>
        <v>664.62522261818538</v>
      </c>
      <c r="U154" t="s">
        <v>155</v>
      </c>
      <c r="V154" t="s">
        <v>208</v>
      </c>
      <c r="W154">
        <v>634.47702206266672</v>
      </c>
      <c r="X154">
        <v>604.26383053587313</v>
      </c>
      <c r="Y154">
        <v>694.90340511625402</v>
      </c>
      <c r="Z154">
        <v>624.83385563692377</v>
      </c>
      <c r="AA154">
        <v>654.5878487624916</v>
      </c>
      <c r="AB154">
        <v>654.5878487624916</v>
      </c>
      <c r="AC154">
        <v>644.60896847945003</v>
      </c>
      <c r="AD154">
        <v>634.35384312736414</v>
      </c>
      <c r="AE154">
        <v>694.76849485377977</v>
      </c>
      <c r="AF154">
        <v>664.56116899057201</v>
      </c>
      <c r="AG154">
        <v>644.23729851515873</v>
      </c>
      <c r="AH154">
        <v>674.91526511111863</v>
      </c>
      <c r="AI154">
        <v>674.91526511111863</v>
      </c>
      <c r="AJ154">
        <v>664.62522261818538</v>
      </c>
    </row>
    <row r="155" spans="1:36">
      <c r="A155" s="71" t="s">
        <v>155</v>
      </c>
      <c r="B155" s="17" t="s">
        <v>208</v>
      </c>
      <c r="C155" s="89" t="s">
        <v>227</v>
      </c>
      <c r="D155" s="89" t="s">
        <v>227</v>
      </c>
      <c r="E155" s="90" t="str">
        <f>VLOOKUP(D155,'[46]Yield Cal Oracle (base) '!$D:$E,2,0)</f>
        <v>TEPSLB20E337M158RF</v>
      </c>
      <c r="F155" s="91">
        <v>196.36818231787231</v>
      </c>
      <c r="G155" s="92">
        <v>187.01731649321169</v>
      </c>
      <c r="H155" s="92">
        <v>215.06991396719346</v>
      </c>
      <c r="I155" s="92">
        <v>194.92071374670064</v>
      </c>
      <c r="J155" s="92">
        <v>204.20265249654355</v>
      </c>
      <c r="K155" s="92">
        <v>204.20265249654355</v>
      </c>
      <c r="L155" s="93">
        <f t="shared" si="17"/>
        <v>200.29690525301089</v>
      </c>
      <c r="M155" s="91">
        <v>200.3354842521864</v>
      </c>
      <c r="N155" s="92">
        <v>219.41505418096608</v>
      </c>
      <c r="O155" s="92">
        <v>209.87526921657624</v>
      </c>
      <c r="P155" s="92">
        <v>205.07310853899375</v>
      </c>
      <c r="Q155" s="92">
        <v>214.83849465989823</v>
      </c>
      <c r="R155" s="92">
        <v>214.83849465989823</v>
      </c>
      <c r="S155" s="94">
        <f t="shared" si="21"/>
        <v>210.72931758475318</v>
      </c>
      <c r="U155" t="s">
        <v>155</v>
      </c>
      <c r="V155" t="s">
        <v>208</v>
      </c>
      <c r="W155">
        <v>196.36818231787231</v>
      </c>
      <c r="X155">
        <v>187.01731649321169</v>
      </c>
      <c r="Y155">
        <v>215.06991396719346</v>
      </c>
      <c r="Z155">
        <v>194.92071374670064</v>
      </c>
      <c r="AA155">
        <v>204.20265249654355</v>
      </c>
      <c r="AB155">
        <v>204.20265249654355</v>
      </c>
      <c r="AC155">
        <v>200.29690525301089</v>
      </c>
      <c r="AD155">
        <v>200.3354842521864</v>
      </c>
      <c r="AE155">
        <v>219.41505418096608</v>
      </c>
      <c r="AF155">
        <v>209.87526921657624</v>
      </c>
      <c r="AG155">
        <v>205.07310853899375</v>
      </c>
      <c r="AH155">
        <v>214.83849465989823</v>
      </c>
      <c r="AI155">
        <v>214.83849465989823</v>
      </c>
      <c r="AJ155">
        <v>210.72931758475318</v>
      </c>
    </row>
    <row r="156" spans="1:36">
      <c r="A156" s="71" t="s">
        <v>155</v>
      </c>
      <c r="B156" s="17" t="s">
        <v>208</v>
      </c>
      <c r="C156" s="72" t="s">
        <v>228</v>
      </c>
      <c r="D156" s="72" t="s">
        <v>228</v>
      </c>
      <c r="E156" s="66" t="e">
        <f>VLOOKUP(D156,'[46]Yield Cal Oracle (base) '!$D:$E,2,0)</f>
        <v>#N/A</v>
      </c>
      <c r="F156" s="91">
        <v>0.49092045579468091</v>
      </c>
      <c r="G156" s="92">
        <v>0.46754329123302946</v>
      </c>
      <c r="H156" s="92">
        <v>0.53767478491798382</v>
      </c>
      <c r="I156" s="92">
        <v>0.48730178436675187</v>
      </c>
      <c r="J156" s="92">
        <v>0.51050663124135909</v>
      </c>
      <c r="K156" s="92">
        <v>0.51050663124135909</v>
      </c>
      <c r="L156" s="93">
        <f t="shared" si="17"/>
        <v>0.50074226313252745</v>
      </c>
      <c r="M156" s="91">
        <v>0.50083871063046603</v>
      </c>
      <c r="N156" s="92">
        <v>0.54853763545241518</v>
      </c>
      <c r="O156" s="92">
        <v>0.52468817304144066</v>
      </c>
      <c r="P156" s="92">
        <v>0.51268277134748441</v>
      </c>
      <c r="Q156" s="92">
        <v>0.5370962366497456</v>
      </c>
      <c r="R156" s="92">
        <v>0.5370962366497456</v>
      </c>
      <c r="S156" s="94">
        <f t="shared" si="21"/>
        <v>0.52682329396188288</v>
      </c>
      <c r="U156" t="s">
        <v>155</v>
      </c>
      <c r="V156" t="s">
        <v>208</v>
      </c>
      <c r="W156">
        <v>0.49092045579468091</v>
      </c>
      <c r="X156">
        <v>0.46754329123302946</v>
      </c>
      <c r="Y156">
        <v>0.53767478491798382</v>
      </c>
      <c r="Z156">
        <v>0.48730178436675187</v>
      </c>
      <c r="AA156">
        <v>0.51050663124135909</v>
      </c>
      <c r="AB156">
        <v>0.51050663124135909</v>
      </c>
      <c r="AC156">
        <v>0.50074226313252745</v>
      </c>
      <c r="AD156">
        <v>0.50083871063046603</v>
      </c>
      <c r="AE156">
        <v>0.54853763545241518</v>
      </c>
      <c r="AF156">
        <v>0.52468817304144066</v>
      </c>
      <c r="AG156">
        <v>0.51268277134748441</v>
      </c>
      <c r="AH156">
        <v>0.5370962366497456</v>
      </c>
      <c r="AI156">
        <v>0.5370962366497456</v>
      </c>
      <c r="AJ156">
        <v>0.52682329396188288</v>
      </c>
    </row>
    <row r="157" spans="1:36">
      <c r="A157" s="71" t="s">
        <v>155</v>
      </c>
      <c r="B157" s="17" t="s">
        <v>208</v>
      </c>
      <c r="C157" s="72" t="s">
        <v>229</v>
      </c>
      <c r="D157" s="72" t="s">
        <v>229</v>
      </c>
      <c r="E157" s="66" t="e">
        <f>VLOOKUP(D157,'[46]Yield Cal Oracle (base) '!$D:$E,2,0)</f>
        <v>#N/A</v>
      </c>
      <c r="F157" s="91">
        <v>1.4412776939275029</v>
      </c>
      <c r="G157" s="92">
        <v>1.3726454227880982</v>
      </c>
      <c r="H157" s="92">
        <v>1.5785422362063128</v>
      </c>
      <c r="I157" s="92">
        <v>1.4191041909440028</v>
      </c>
      <c r="J157" s="92">
        <v>1.4866805809889554</v>
      </c>
      <c r="K157" s="92">
        <v>1.4866805809889554</v>
      </c>
      <c r="L157" s="93">
        <f t="shared" si="17"/>
        <v>1.4641551176406378</v>
      </c>
      <c r="M157" s="91">
        <v>1.4402992600196516</v>
      </c>
      <c r="N157" s="92">
        <v>1.5774706181167613</v>
      </c>
      <c r="O157" s="92">
        <v>1.5088849390682064</v>
      </c>
      <c r="P157" s="92">
        <v>1.4624577101738008</v>
      </c>
      <c r="Q157" s="92">
        <v>1.5320985535154101</v>
      </c>
      <c r="R157" s="92">
        <v>1.5320985535154101</v>
      </c>
      <c r="S157" s="94">
        <f t="shared" si="21"/>
        <v>1.5088849390682066</v>
      </c>
      <c r="U157" t="s">
        <v>155</v>
      </c>
      <c r="V157" t="s">
        <v>208</v>
      </c>
      <c r="W157">
        <v>1.4412776939275029</v>
      </c>
      <c r="X157">
        <v>1.3726454227880982</v>
      </c>
      <c r="Y157">
        <v>1.5785422362063128</v>
      </c>
      <c r="Z157">
        <v>1.4191041909440028</v>
      </c>
      <c r="AA157">
        <v>1.4866805809889554</v>
      </c>
      <c r="AB157">
        <v>1.4866805809889554</v>
      </c>
      <c r="AC157">
        <v>1.4641551176406378</v>
      </c>
      <c r="AD157">
        <v>1.4402992600196516</v>
      </c>
      <c r="AE157">
        <v>1.5774706181167613</v>
      </c>
      <c r="AF157">
        <v>1.5088849390682064</v>
      </c>
      <c r="AG157">
        <v>1.4624577101738008</v>
      </c>
      <c r="AH157">
        <v>1.5320985535154101</v>
      </c>
      <c r="AI157">
        <v>1.5320985535154101</v>
      </c>
      <c r="AJ157">
        <v>1.5088849390682066</v>
      </c>
    </row>
    <row r="158" spans="1:36">
      <c r="A158" s="71" t="s">
        <v>155</v>
      </c>
      <c r="B158" s="17" t="s">
        <v>208</v>
      </c>
      <c r="C158" s="89" t="s">
        <v>230</v>
      </c>
      <c r="D158" s="89" t="s">
        <v>230</v>
      </c>
      <c r="E158" s="90" t="str">
        <f>VLOOKUP(D158,'[46]Yield Cal Oracle (base) '!$D:$E,2,0)</f>
        <v>TEPSLB20J107M358R</v>
      </c>
      <c r="F158" s="91">
        <v>708.79284412100617</v>
      </c>
      <c r="G158" s="92">
        <v>675.04080392476772</v>
      </c>
      <c r="H158" s="92">
        <v>776.29692451348285</v>
      </c>
      <c r="I158" s="92">
        <v>698.02209315977984</v>
      </c>
      <c r="J158" s="92">
        <v>731.26124045310257</v>
      </c>
      <c r="K158" s="92">
        <v>731.26124045310257</v>
      </c>
      <c r="L158" s="93">
        <f t="shared" si="17"/>
        <v>720.11252443754029</v>
      </c>
      <c r="M158" s="91">
        <v>708.66022082287259</v>
      </c>
      <c r="N158" s="92">
        <v>776.15167042505084</v>
      </c>
      <c r="O158" s="92">
        <v>742.40594562396177</v>
      </c>
      <c r="P158" s="92">
        <v>719.70340665127355</v>
      </c>
      <c r="Q158" s="92">
        <v>753.97499744419156</v>
      </c>
      <c r="R158" s="92">
        <v>753.97499744419156</v>
      </c>
      <c r="S158" s="94">
        <f t="shared" si="21"/>
        <v>742.47853973525696</v>
      </c>
      <c r="U158" t="s">
        <v>155</v>
      </c>
      <c r="V158" t="s">
        <v>208</v>
      </c>
      <c r="W158">
        <v>708.79284412100617</v>
      </c>
      <c r="X158">
        <v>675.04080392476772</v>
      </c>
      <c r="Y158">
        <v>776.29692451348285</v>
      </c>
      <c r="Z158">
        <v>698.02209315977984</v>
      </c>
      <c r="AA158">
        <v>731.26124045310257</v>
      </c>
      <c r="AB158">
        <v>731.26124045310257</v>
      </c>
      <c r="AC158">
        <v>720.11252443754029</v>
      </c>
      <c r="AD158">
        <v>708.66022082287259</v>
      </c>
      <c r="AE158">
        <v>776.15167042505084</v>
      </c>
      <c r="AF158">
        <v>742.40594562396177</v>
      </c>
      <c r="AG158">
        <v>719.70340665127355</v>
      </c>
      <c r="AH158">
        <v>753.97499744419156</v>
      </c>
      <c r="AI158">
        <v>753.97499744419156</v>
      </c>
      <c r="AJ158">
        <v>742.47853973525696</v>
      </c>
    </row>
    <row r="159" spans="1:36">
      <c r="A159" s="71" t="s">
        <v>155</v>
      </c>
      <c r="B159" s="17" t="s">
        <v>208</v>
      </c>
      <c r="C159" s="89" t="s">
        <v>231</v>
      </c>
      <c r="D159" s="89" t="s">
        <v>231</v>
      </c>
      <c r="E159" s="90" t="str">
        <f>VLOOKUP(D159,'[46]Yield Cal Oracle (base) '!$D:$E,2,0)</f>
        <v>TEPSLB20J107M358RF</v>
      </c>
      <c r="F159" s="91">
        <v>149.73073901737763</v>
      </c>
      <c r="G159" s="92">
        <v>142.60070382607395</v>
      </c>
      <c r="H159" s="92">
        <v>163.99080939998504</v>
      </c>
      <c r="I159" s="92">
        <v>148.62704423185929</v>
      </c>
      <c r="J159" s="92">
        <v>155.70452252861449</v>
      </c>
      <c r="K159" s="92">
        <v>155.70452252861449</v>
      </c>
      <c r="L159" s="93">
        <f t="shared" si="17"/>
        <v>152.7263902554208</v>
      </c>
      <c r="M159" s="91">
        <v>152.75580674229218</v>
      </c>
      <c r="N159" s="92">
        <v>167.30397881298668</v>
      </c>
      <c r="O159" s="92">
        <v>160.02989277763945</v>
      </c>
      <c r="P159" s="92">
        <v>156.36824526098277</v>
      </c>
      <c r="Q159" s="92">
        <v>163.81435217817244</v>
      </c>
      <c r="R159" s="92">
        <v>163.81435217817244</v>
      </c>
      <c r="S159" s="94">
        <f t="shared" si="21"/>
        <v>160.68110465837432</v>
      </c>
      <c r="U159" t="s">
        <v>155</v>
      </c>
      <c r="V159" t="s">
        <v>208</v>
      </c>
      <c r="W159">
        <v>149.73073901737763</v>
      </c>
      <c r="X159">
        <v>142.60070382607395</v>
      </c>
      <c r="Y159">
        <v>163.99080939998504</v>
      </c>
      <c r="Z159">
        <v>148.62704423185929</v>
      </c>
      <c r="AA159">
        <v>155.70452252861449</v>
      </c>
      <c r="AB159">
        <v>155.70452252861449</v>
      </c>
      <c r="AC159">
        <v>152.7263902554208</v>
      </c>
      <c r="AD159">
        <v>152.75580674229218</v>
      </c>
      <c r="AE159">
        <v>167.30397881298668</v>
      </c>
      <c r="AF159">
        <v>160.02989277763945</v>
      </c>
      <c r="AG159">
        <v>156.36824526098277</v>
      </c>
      <c r="AH159">
        <v>163.81435217817244</v>
      </c>
      <c r="AI159">
        <v>163.81435217817244</v>
      </c>
      <c r="AJ159">
        <v>160.68110465837432</v>
      </c>
    </row>
    <row r="160" spans="1:36">
      <c r="A160" s="71" t="s">
        <v>155</v>
      </c>
      <c r="B160" s="17" t="s">
        <v>208</v>
      </c>
      <c r="C160" s="89" t="s">
        <v>232</v>
      </c>
      <c r="D160" s="89" t="s">
        <v>232</v>
      </c>
      <c r="E160" s="90" t="str">
        <f>VLOOKUP(D160,'[46]Yield Cal Oracle (base) '!$D:$E,2,0)</f>
        <v>TEPSLB20J107M458R</v>
      </c>
      <c r="F160" s="91">
        <v>1485.4978656569174</v>
      </c>
      <c r="G160" s="92">
        <v>1414.7598720542071</v>
      </c>
      <c r="H160" s="92">
        <v>1626.9738528623382</v>
      </c>
      <c r="I160" s="92">
        <v>1462.6519202410566</v>
      </c>
      <c r="J160" s="92">
        <v>1532.3020116811069</v>
      </c>
      <c r="K160" s="92">
        <v>1532.3020116811069</v>
      </c>
      <c r="L160" s="93">
        <f t="shared" si="17"/>
        <v>1509.0812556961221</v>
      </c>
      <c r="M160" s="91">
        <v>1484.5099152415019</v>
      </c>
      <c r="N160" s="92">
        <v>1625.8918119311686</v>
      </c>
      <c r="O160" s="92">
        <v>1555.2008635863351</v>
      </c>
      <c r="P160" s="92">
        <v>1507.3568070217095</v>
      </c>
      <c r="Q160" s="92">
        <v>1579.135702594172</v>
      </c>
      <c r="R160" s="92">
        <v>1579.135702594172</v>
      </c>
      <c r="S160" s="94">
        <f t="shared" si="21"/>
        <v>1555.2051338281765</v>
      </c>
      <c r="U160" t="s">
        <v>155</v>
      </c>
      <c r="V160" t="s">
        <v>208</v>
      </c>
      <c r="W160">
        <v>1485.4978656569174</v>
      </c>
      <c r="X160">
        <v>1414.7598720542071</v>
      </c>
      <c r="Y160">
        <v>1626.9738528623382</v>
      </c>
      <c r="Z160">
        <v>1462.6519202410566</v>
      </c>
      <c r="AA160">
        <v>1532.3020116811069</v>
      </c>
      <c r="AB160">
        <v>1532.3020116811069</v>
      </c>
      <c r="AC160">
        <v>1509.0812556961221</v>
      </c>
      <c r="AD160">
        <v>1484.5099152415019</v>
      </c>
      <c r="AE160">
        <v>1625.8918119311686</v>
      </c>
      <c r="AF160">
        <v>1555.2008635863351</v>
      </c>
      <c r="AG160">
        <v>1507.3568070217095</v>
      </c>
      <c r="AH160">
        <v>1579.135702594172</v>
      </c>
      <c r="AI160">
        <v>1579.135702594172</v>
      </c>
      <c r="AJ160">
        <v>1555.2051338281765</v>
      </c>
    </row>
    <row r="161" spans="1:36">
      <c r="A161" s="71" t="s">
        <v>155</v>
      </c>
      <c r="B161" s="17" t="s">
        <v>208</v>
      </c>
      <c r="C161" s="89" t="s">
        <v>233</v>
      </c>
      <c r="D161" s="89" t="s">
        <v>233</v>
      </c>
      <c r="E161" s="90" t="str">
        <f>VLOOKUP(D161,'[46]Yield Cal Oracle (base) '!$D:$E,2,0)</f>
        <v>TEPSLB20J107M8RF</v>
      </c>
      <c r="F161" s="91">
        <v>122.73011394867017</v>
      </c>
      <c r="G161" s="92">
        <v>116.88582280825732</v>
      </c>
      <c r="H161" s="92">
        <v>134.41869622949594</v>
      </c>
      <c r="I161" s="92">
        <v>121.82544609168792</v>
      </c>
      <c r="J161" s="92">
        <v>127.62665781033974</v>
      </c>
      <c r="K161" s="92">
        <v>127.62665781033974</v>
      </c>
      <c r="L161" s="93">
        <f t="shared" si="17"/>
        <v>125.18556578313182</v>
      </c>
      <c r="M161" s="91">
        <v>125.20967765761651</v>
      </c>
      <c r="N161" s="92">
        <v>137.1344088631038</v>
      </c>
      <c r="O161" s="92">
        <v>131.17204326036017</v>
      </c>
      <c r="P161" s="92">
        <v>128.17069283687107</v>
      </c>
      <c r="Q161" s="92">
        <v>134.27405916243637</v>
      </c>
      <c r="R161" s="92">
        <v>134.27405916243637</v>
      </c>
      <c r="S161" s="94">
        <f t="shared" si="21"/>
        <v>131.70582349047072</v>
      </c>
      <c r="U161" t="s">
        <v>155</v>
      </c>
      <c r="V161" t="s">
        <v>208</v>
      </c>
      <c r="W161">
        <v>122.73011394867017</v>
      </c>
      <c r="X161">
        <v>116.88582280825732</v>
      </c>
      <c r="Y161">
        <v>134.41869622949594</v>
      </c>
      <c r="Z161">
        <v>121.82544609168792</v>
      </c>
      <c r="AA161">
        <v>127.62665781033974</v>
      </c>
      <c r="AB161">
        <v>127.62665781033974</v>
      </c>
      <c r="AC161">
        <v>125.18556578313182</v>
      </c>
      <c r="AD161">
        <v>125.20967765761651</v>
      </c>
      <c r="AE161">
        <v>137.1344088631038</v>
      </c>
      <c r="AF161">
        <v>131.17204326036017</v>
      </c>
      <c r="AG161">
        <v>128.17069283687107</v>
      </c>
      <c r="AH161">
        <v>134.27405916243637</v>
      </c>
      <c r="AI161">
        <v>134.27405916243637</v>
      </c>
      <c r="AJ161">
        <v>131.70582349047072</v>
      </c>
    </row>
    <row r="162" spans="1:36">
      <c r="A162" s="71" t="s">
        <v>155</v>
      </c>
      <c r="B162" s="17" t="s">
        <v>208</v>
      </c>
      <c r="C162" s="72" t="s">
        <v>234</v>
      </c>
      <c r="D162" s="72" t="s">
        <v>234</v>
      </c>
      <c r="E162" s="66" t="e">
        <f>VLOOKUP(D162,'[46]Yield Cal Oracle (base) '!$D:$E,2,0)</f>
        <v>#N/A</v>
      </c>
      <c r="F162" s="91">
        <v>46.390091889276277</v>
      </c>
      <c r="G162" s="92">
        <v>44.181039894548832</v>
      </c>
      <c r="H162" s="92">
        <v>50.808195878731169</v>
      </c>
      <c r="I162" s="92">
        <v>51.369894846751031</v>
      </c>
      <c r="J162" s="92">
        <v>53.816080315643937</v>
      </c>
      <c r="K162" s="92">
        <v>53.816080315643937</v>
      </c>
      <c r="L162" s="93">
        <f t="shared" si="17"/>
        <v>50.06356385676586</v>
      </c>
      <c r="M162" s="91">
        <v>56.915508494979846</v>
      </c>
      <c r="N162" s="92">
        <v>62.336033113549355</v>
      </c>
      <c r="O162" s="92">
        <v>59.625770804264604</v>
      </c>
      <c r="P162" s="92">
        <v>57.791131702594924</v>
      </c>
      <c r="Q162" s="92">
        <v>60.543090355099451</v>
      </c>
      <c r="R162" s="92">
        <v>60.543090355099451</v>
      </c>
      <c r="S162" s="94">
        <f t="shared" si="21"/>
        <v>59.625770804264597</v>
      </c>
      <c r="U162" t="s">
        <v>155</v>
      </c>
      <c r="V162" t="s">
        <v>208</v>
      </c>
      <c r="W162">
        <v>46.390091889276277</v>
      </c>
      <c r="X162">
        <v>44.181039894548832</v>
      </c>
      <c r="Y162">
        <v>50.808195878731169</v>
      </c>
      <c r="Z162">
        <v>51.369894846751031</v>
      </c>
      <c r="AA162">
        <v>53.816080315643937</v>
      </c>
      <c r="AB162">
        <v>53.816080315643937</v>
      </c>
      <c r="AC162">
        <v>50.06356385676586</v>
      </c>
      <c r="AD162">
        <v>56.915508494979846</v>
      </c>
      <c r="AE162">
        <v>62.336033113549355</v>
      </c>
      <c r="AF162">
        <v>59.625770804264604</v>
      </c>
      <c r="AG162">
        <v>57.791131702594924</v>
      </c>
      <c r="AH162">
        <v>60.543090355099451</v>
      </c>
      <c r="AI162">
        <v>60.543090355099451</v>
      </c>
      <c r="AJ162">
        <v>59.625770804264597</v>
      </c>
    </row>
    <row r="163" spans="1:36">
      <c r="A163" s="71" t="s">
        <v>155</v>
      </c>
      <c r="B163" s="17" t="s">
        <v>208</v>
      </c>
      <c r="C163" s="89" t="s">
        <v>235</v>
      </c>
      <c r="D163" s="89" t="s">
        <v>235</v>
      </c>
      <c r="E163" s="90" t="str">
        <f>VLOOKUP(D163,'[46]Yield Cal Oracle (base) '!$D:$E,2,0)</f>
        <v>TEPSLB20J157M18HF8R</v>
      </c>
      <c r="F163" s="91">
        <v>2897.7661635269533</v>
      </c>
      <c r="G163" s="92">
        <v>2759.7772985970983</v>
      </c>
      <c r="H163" s="92">
        <v>3173.7438933866633</v>
      </c>
      <c r="I163" s="92">
        <v>2735.5280749609442</v>
      </c>
      <c r="J163" s="92">
        <v>2865.7913166257513</v>
      </c>
      <c r="K163" s="92">
        <v>2865.7913166257513</v>
      </c>
      <c r="L163" s="93">
        <f t="shared" si="17"/>
        <v>2883.0663439538603</v>
      </c>
      <c r="M163" s="91">
        <v>2855.7254961922704</v>
      </c>
      <c r="N163" s="92">
        <v>3127.6993529724868</v>
      </c>
      <c r="O163" s="92">
        <v>2991.7124245823788</v>
      </c>
      <c r="P163" s="92">
        <v>3061.8639222494812</v>
      </c>
      <c r="Q163" s="92">
        <v>3207.6669661661226</v>
      </c>
      <c r="R163" s="92">
        <v>3207.6669661661226</v>
      </c>
      <c r="S163" s="94">
        <f t="shared" si="21"/>
        <v>3075.3891880548103</v>
      </c>
      <c r="U163" t="s">
        <v>155</v>
      </c>
      <c r="V163" t="s">
        <v>208</v>
      </c>
      <c r="W163">
        <v>2897.7661635269533</v>
      </c>
      <c r="X163">
        <v>2759.7772985970983</v>
      </c>
      <c r="Y163">
        <v>3173.7438933866633</v>
      </c>
      <c r="Z163">
        <v>2735.5280749609442</v>
      </c>
      <c r="AA163">
        <v>2865.7913166257513</v>
      </c>
      <c r="AB163">
        <v>2865.7913166257513</v>
      </c>
      <c r="AC163">
        <v>2883.0663439538603</v>
      </c>
      <c r="AD163">
        <v>2855.7254961922704</v>
      </c>
      <c r="AE163">
        <v>3127.6993529724868</v>
      </c>
      <c r="AF163">
        <v>2991.7124245823788</v>
      </c>
      <c r="AG163">
        <v>3061.8639222494812</v>
      </c>
      <c r="AH163">
        <v>3207.6669661661226</v>
      </c>
      <c r="AI163">
        <v>3207.6669661661226</v>
      </c>
      <c r="AJ163">
        <v>3075.3891880548103</v>
      </c>
    </row>
    <row r="164" spans="1:36">
      <c r="A164" s="71" t="s">
        <v>155</v>
      </c>
      <c r="B164" s="17" t="s">
        <v>208</v>
      </c>
      <c r="C164" s="89" t="s">
        <v>236</v>
      </c>
      <c r="D164" s="89" t="s">
        <v>236</v>
      </c>
      <c r="E164" s="90" t="str">
        <f>VLOOKUP(D164,'[46]Yield Cal Oracle (base) '!$D:$E,2,0)</f>
        <v>TEPSLB20J157M258RF</v>
      </c>
      <c r="F164" s="91">
        <v>589.10454695361716</v>
      </c>
      <c r="G164" s="92">
        <v>561.05194947963537</v>
      </c>
      <c r="H164" s="92">
        <v>645.20974190158063</v>
      </c>
      <c r="I164" s="92">
        <v>584.76214124010221</v>
      </c>
      <c r="J164" s="92">
        <v>612.60795748963108</v>
      </c>
      <c r="K164" s="92">
        <v>612.60795748963108</v>
      </c>
      <c r="L164" s="93">
        <f t="shared" si="17"/>
        <v>600.8907157590329</v>
      </c>
      <c r="M164" s="91">
        <v>601.00645275655927</v>
      </c>
      <c r="N164" s="92">
        <v>658.24516254289836</v>
      </c>
      <c r="O164" s="92">
        <v>629.6258076497287</v>
      </c>
      <c r="P164" s="92">
        <v>615.21932561698134</v>
      </c>
      <c r="Q164" s="92">
        <v>644.51548397969475</v>
      </c>
      <c r="R164" s="92">
        <v>644.51548397969475</v>
      </c>
      <c r="S164" s="94">
        <f t="shared" si="21"/>
        <v>632.18795275425953</v>
      </c>
      <c r="U164" t="s">
        <v>155</v>
      </c>
      <c r="V164" t="s">
        <v>208</v>
      </c>
      <c r="W164">
        <v>589.10454695361716</v>
      </c>
      <c r="X164">
        <v>561.05194947963537</v>
      </c>
      <c r="Y164">
        <v>645.20974190158063</v>
      </c>
      <c r="Z164">
        <v>584.76214124010221</v>
      </c>
      <c r="AA164">
        <v>612.60795748963108</v>
      </c>
      <c r="AB164">
        <v>612.60795748963108</v>
      </c>
      <c r="AC164">
        <v>600.8907157590329</v>
      </c>
      <c r="AD164">
        <v>601.00645275655927</v>
      </c>
      <c r="AE164">
        <v>658.24516254289836</v>
      </c>
      <c r="AF164">
        <v>629.6258076497287</v>
      </c>
      <c r="AG164">
        <v>615.21932561698134</v>
      </c>
      <c r="AH164">
        <v>644.51548397969475</v>
      </c>
      <c r="AI164">
        <v>644.51548397969475</v>
      </c>
      <c r="AJ164">
        <v>632.18795275425953</v>
      </c>
    </row>
    <row r="165" spans="1:36">
      <c r="A165" s="71" t="s">
        <v>155</v>
      </c>
      <c r="B165" s="17" t="s">
        <v>208</v>
      </c>
      <c r="C165" s="89" t="s">
        <v>237</v>
      </c>
      <c r="D165" s="89" t="s">
        <v>237</v>
      </c>
      <c r="E165" s="90" t="str">
        <f>VLOOKUP(D165,'[46]Yield Cal Oracle (base) '!$D:$E,2,0)</f>
        <v>TEPSLB20J157M25HF8R</v>
      </c>
      <c r="F165" s="91">
        <v>9.8924108350466415</v>
      </c>
      <c r="G165" s="92">
        <v>9.4213436524253744</v>
      </c>
      <c r="H165" s="92">
        <v>10.834545200289179</v>
      </c>
      <c r="I165" s="92">
        <v>9.6896799092894934</v>
      </c>
      <c r="J165" s="92">
        <v>10.151093238303277</v>
      </c>
      <c r="K165" s="92">
        <v>10.151093238303277</v>
      </c>
      <c r="L165" s="93">
        <f t="shared" si="17"/>
        <v>10.023361012276206</v>
      </c>
      <c r="M165" s="91">
        <v>9.868481517902687</v>
      </c>
      <c r="N165" s="92">
        <v>10.808336900560086</v>
      </c>
      <c r="O165" s="92">
        <v>10.338409209231388</v>
      </c>
      <c r="P165" s="92">
        <v>10.0899795822136</v>
      </c>
      <c r="Q165" s="92">
        <v>10.570454800414247</v>
      </c>
      <c r="R165" s="92">
        <v>10.570454800414247</v>
      </c>
      <c r="S165" s="94">
        <f t="shared" si="21"/>
        <v>10.374352801789376</v>
      </c>
      <c r="U165" t="s">
        <v>155</v>
      </c>
      <c r="V165" t="s">
        <v>208</v>
      </c>
      <c r="W165">
        <v>9.8924108350466415</v>
      </c>
      <c r="X165">
        <v>9.4213436524253744</v>
      </c>
      <c r="Y165">
        <v>10.834545200289179</v>
      </c>
      <c r="Z165">
        <v>9.6896799092894934</v>
      </c>
      <c r="AA165">
        <v>10.151093238303277</v>
      </c>
      <c r="AB165">
        <v>10.151093238303277</v>
      </c>
      <c r="AC165">
        <v>10.023361012276206</v>
      </c>
      <c r="AD165">
        <v>9.868481517902687</v>
      </c>
      <c r="AE165">
        <v>10.808336900560086</v>
      </c>
      <c r="AF165">
        <v>10.338409209231388</v>
      </c>
      <c r="AG165">
        <v>10.0899795822136</v>
      </c>
      <c r="AH165">
        <v>10.570454800414247</v>
      </c>
      <c r="AI165">
        <v>10.570454800414247</v>
      </c>
      <c r="AJ165">
        <v>10.374352801789376</v>
      </c>
    </row>
    <row r="166" spans="1:36">
      <c r="A166" s="71" t="s">
        <v>155</v>
      </c>
      <c r="B166" s="17" t="s">
        <v>208</v>
      </c>
      <c r="C166" s="89" t="s">
        <v>238</v>
      </c>
      <c r="D166" s="89" t="s">
        <v>238</v>
      </c>
      <c r="E166" s="90" t="str">
        <f>VLOOKUP(D166,'[46]Yield Cal Oracle (base) '!$D:$E,2,0)</f>
        <v>TEPSLB20J157M358R</v>
      </c>
      <c r="F166" s="91">
        <v>1445.2205068260855</v>
      </c>
      <c r="G166" s="92">
        <v>1376.4004826915102</v>
      </c>
      <c r="H166" s="92">
        <v>1582.8605550952364</v>
      </c>
      <c r="I166" s="92">
        <v>1424.3022517817085</v>
      </c>
      <c r="J166" s="92">
        <v>1492.1261685332183</v>
      </c>
      <c r="K166" s="92">
        <v>1492.1261685332183</v>
      </c>
      <c r="L166" s="93">
        <f t="shared" si="17"/>
        <v>1468.8393555768296</v>
      </c>
      <c r="M166" s="91">
        <v>1447.6685310113571</v>
      </c>
      <c r="N166" s="92">
        <v>1585.5417244410103</v>
      </c>
      <c r="O166" s="92">
        <v>1516.6051277261838</v>
      </c>
      <c r="P166" s="92">
        <v>1471.3247998182076</v>
      </c>
      <c r="Q166" s="92">
        <v>1541.3878855238361</v>
      </c>
      <c r="R166" s="92">
        <v>1541.3878855238361</v>
      </c>
      <c r="S166" s="94">
        <f t="shared" si="21"/>
        <v>1517.3193256740717</v>
      </c>
      <c r="U166" t="s">
        <v>155</v>
      </c>
      <c r="V166" t="s">
        <v>208</v>
      </c>
      <c r="W166">
        <v>1445.2205068260855</v>
      </c>
      <c r="X166">
        <v>1376.4004826915102</v>
      </c>
      <c r="Y166">
        <v>1582.8605550952364</v>
      </c>
      <c r="Z166">
        <v>1424.3022517817085</v>
      </c>
      <c r="AA166">
        <v>1492.1261685332183</v>
      </c>
      <c r="AB166">
        <v>1492.1261685332183</v>
      </c>
      <c r="AC166">
        <v>1468.8393555768296</v>
      </c>
      <c r="AD166">
        <v>1447.6685310113571</v>
      </c>
      <c r="AE166">
        <v>1585.5417244410103</v>
      </c>
      <c r="AF166">
        <v>1516.6051277261838</v>
      </c>
      <c r="AG166">
        <v>1471.3247998182076</v>
      </c>
      <c r="AH166">
        <v>1541.3878855238361</v>
      </c>
      <c r="AI166">
        <v>1541.3878855238361</v>
      </c>
      <c r="AJ166">
        <v>1517.3193256740717</v>
      </c>
    </row>
    <row r="167" spans="1:36">
      <c r="A167" s="71" t="s">
        <v>155</v>
      </c>
      <c r="B167" s="17" t="s">
        <v>208</v>
      </c>
      <c r="C167" s="72" t="s">
        <v>239</v>
      </c>
      <c r="D167" s="72" t="s">
        <v>239</v>
      </c>
      <c r="E167" s="66" t="e">
        <f>VLOOKUP(D167,'[46]Yield Cal Oracle (base) '!$D:$E,2,0)</f>
        <v>#N/A</v>
      </c>
      <c r="F167" s="91">
        <v>341.31463709803052</v>
      </c>
      <c r="G167" s="92">
        <v>325.06155914098144</v>
      </c>
      <c r="H167" s="92">
        <v>373.82079301212866</v>
      </c>
      <c r="I167" s="92">
        <v>366.61488292487752</v>
      </c>
      <c r="J167" s="92">
        <v>384.07273449272884</v>
      </c>
      <c r="K167" s="92">
        <v>384.07273449272884</v>
      </c>
      <c r="L167" s="93">
        <f t="shared" si="17"/>
        <v>362.49289019357929</v>
      </c>
      <c r="M167" s="91">
        <v>416.30607236364062</v>
      </c>
      <c r="N167" s="92">
        <v>455.95426973160647</v>
      </c>
      <c r="O167" s="92">
        <v>436.13017104762355</v>
      </c>
      <c r="P167" s="92">
        <v>422.71078116923525</v>
      </c>
      <c r="Q167" s="92">
        <v>442.83986598681781</v>
      </c>
      <c r="R167" s="92">
        <v>442.83986598681781</v>
      </c>
      <c r="S167" s="94">
        <f t="shared" si="21"/>
        <v>436.13017104762366</v>
      </c>
      <c r="U167" t="s">
        <v>155</v>
      </c>
      <c r="V167" t="s">
        <v>208</v>
      </c>
      <c r="W167">
        <v>341.31463709803052</v>
      </c>
      <c r="X167">
        <v>325.06155914098144</v>
      </c>
      <c r="Y167">
        <v>373.82079301212866</v>
      </c>
      <c r="Z167">
        <v>366.61488292487752</v>
      </c>
      <c r="AA167">
        <v>384.07273449272884</v>
      </c>
      <c r="AB167">
        <v>384.07273449272884</v>
      </c>
      <c r="AC167">
        <v>362.49289019357929</v>
      </c>
      <c r="AD167">
        <v>416.30607236364062</v>
      </c>
      <c r="AE167">
        <v>455.95426973160647</v>
      </c>
      <c r="AF167">
        <v>436.13017104762355</v>
      </c>
      <c r="AG167">
        <v>422.71078116923525</v>
      </c>
      <c r="AH167">
        <v>442.83986598681781</v>
      </c>
      <c r="AI167">
        <v>442.83986598681781</v>
      </c>
      <c r="AJ167">
        <v>436.13017104762366</v>
      </c>
    </row>
    <row r="168" spans="1:36">
      <c r="A168" s="71" t="s">
        <v>155</v>
      </c>
      <c r="B168" s="17" t="s">
        <v>208</v>
      </c>
      <c r="C168" s="89" t="s">
        <v>240</v>
      </c>
      <c r="D168" s="89" t="s">
        <v>240</v>
      </c>
      <c r="E168" s="90" t="str">
        <f>VLOOKUP(D168,'[46]Yield Cal Oracle (base) '!$D:$E,2,0)</f>
        <v>TEPSLB20J157M458R</v>
      </c>
      <c r="F168" s="91">
        <v>576.51107757100112</v>
      </c>
      <c r="G168" s="92">
        <v>549.05816911523902</v>
      </c>
      <c r="H168" s="92">
        <v>631.41689448252509</v>
      </c>
      <c r="I168" s="92">
        <v>567.64167637760102</v>
      </c>
      <c r="J168" s="92">
        <v>594.672232395582</v>
      </c>
      <c r="K168" s="92">
        <v>594.672232395582</v>
      </c>
      <c r="L168" s="93">
        <f t="shared" si="17"/>
        <v>585.66204705625501</v>
      </c>
      <c r="M168" s="91">
        <v>576.11970400786049</v>
      </c>
      <c r="N168" s="92">
        <v>630.98824724670442</v>
      </c>
      <c r="O168" s="92">
        <v>603.55397562728251</v>
      </c>
      <c r="P168" s="92">
        <v>584.98308406952015</v>
      </c>
      <c r="Q168" s="92">
        <v>612.83942140616398</v>
      </c>
      <c r="R168" s="92">
        <v>612.83942140616398</v>
      </c>
      <c r="S168" s="94">
        <f t="shared" si="21"/>
        <v>603.55397562728251</v>
      </c>
      <c r="U168" t="s">
        <v>155</v>
      </c>
      <c r="V168" t="s">
        <v>208</v>
      </c>
      <c r="W168">
        <v>576.51107757100112</v>
      </c>
      <c r="X168">
        <v>549.05816911523902</v>
      </c>
      <c r="Y168">
        <v>631.41689448252509</v>
      </c>
      <c r="Z168">
        <v>567.64167637760102</v>
      </c>
      <c r="AA168">
        <v>594.672232395582</v>
      </c>
      <c r="AB168">
        <v>594.672232395582</v>
      </c>
      <c r="AC168">
        <v>585.66204705625501</v>
      </c>
      <c r="AD168">
        <v>576.11970400786049</v>
      </c>
      <c r="AE168">
        <v>630.98824724670442</v>
      </c>
      <c r="AF168">
        <v>603.55397562728251</v>
      </c>
      <c r="AG168">
        <v>584.98308406952015</v>
      </c>
      <c r="AH168">
        <v>612.83942140616398</v>
      </c>
      <c r="AI168">
        <v>612.83942140616398</v>
      </c>
      <c r="AJ168">
        <v>603.55397562728251</v>
      </c>
    </row>
    <row r="169" spans="1:36">
      <c r="A169" s="71" t="s">
        <v>155</v>
      </c>
      <c r="B169" s="17" t="s">
        <v>208</v>
      </c>
      <c r="C169" s="89" t="s">
        <v>241</v>
      </c>
      <c r="D169" s="89" t="s">
        <v>241</v>
      </c>
      <c r="E169" s="90" t="str">
        <f>VLOOKUP(D169,'[46]Yield Cal Oracle (base) '!$D:$E,2,0)</f>
        <v>TEPSLB20J227M258R</v>
      </c>
      <c r="F169" s="91">
        <v>1258.6202248241768</v>
      </c>
      <c r="G169" s="92">
        <v>1198.6859284039779</v>
      </c>
      <c r="H169" s="92">
        <v>1378.4888176645745</v>
      </c>
      <c r="I169" s="92">
        <v>1253.2954863705168</v>
      </c>
      <c r="J169" s="92">
        <v>1312.976223816732</v>
      </c>
      <c r="K169" s="92">
        <v>1312.976223816732</v>
      </c>
      <c r="L169" s="93">
        <f t="shared" si="17"/>
        <v>1285.8404841494519</v>
      </c>
      <c r="M169" s="91">
        <v>1277.3623694024975</v>
      </c>
      <c r="N169" s="92">
        <v>1399.0159283932119</v>
      </c>
      <c r="O169" s="92">
        <v>1338.1891488978549</v>
      </c>
      <c r="P169" s="92">
        <v>1296.4747473532636</v>
      </c>
      <c r="Q169" s="92">
        <v>1358.2116400843715</v>
      </c>
      <c r="R169" s="92">
        <v>1358.2116400843715</v>
      </c>
      <c r="S169" s="94">
        <f t="shared" si="21"/>
        <v>1337.9109123692617</v>
      </c>
      <c r="U169" t="s">
        <v>155</v>
      </c>
      <c r="V169" t="s">
        <v>208</v>
      </c>
      <c r="W169">
        <v>1258.6202248241768</v>
      </c>
      <c r="X169">
        <v>1198.6859284039779</v>
      </c>
      <c r="Y169">
        <v>1378.4888176645745</v>
      </c>
      <c r="Z169">
        <v>1253.2954863705168</v>
      </c>
      <c r="AA169">
        <v>1312.976223816732</v>
      </c>
      <c r="AB169">
        <v>1312.976223816732</v>
      </c>
      <c r="AC169">
        <v>1285.8404841494519</v>
      </c>
      <c r="AD169">
        <v>1277.3623694024975</v>
      </c>
      <c r="AE169">
        <v>1399.0159283932119</v>
      </c>
      <c r="AF169">
        <v>1338.1891488978549</v>
      </c>
      <c r="AG169">
        <v>1296.4747473532636</v>
      </c>
      <c r="AH169">
        <v>1358.2116400843715</v>
      </c>
      <c r="AI169">
        <v>1358.2116400843715</v>
      </c>
      <c r="AJ169">
        <v>1337.9109123692617</v>
      </c>
    </row>
    <row r="170" spans="1:36">
      <c r="A170" s="71" t="s">
        <v>155</v>
      </c>
      <c r="B170" s="17" t="s">
        <v>208</v>
      </c>
      <c r="C170" s="89" t="s">
        <v>242</v>
      </c>
      <c r="D170" s="89" t="s">
        <v>242</v>
      </c>
      <c r="E170" s="90" t="str">
        <f>VLOOKUP(D170,'[46]Yield Cal Oracle (base) '!$D:$E,2,0)</f>
        <v>TEPSLB20J227M258RF</v>
      </c>
      <c r="F170" s="91">
        <v>28.227926208194148</v>
      </c>
      <c r="G170" s="92">
        <v>26.883739245899189</v>
      </c>
      <c r="H170" s="92">
        <v>30.916300132784066</v>
      </c>
      <c r="I170" s="92">
        <v>28.019852601088232</v>
      </c>
      <c r="J170" s="92">
        <v>29.354131296378146</v>
      </c>
      <c r="K170" s="92">
        <v>29.354131296378146</v>
      </c>
      <c r="L170" s="93">
        <f t="shared" ref="L170:L233" si="22">SUM(F170:K170)/6</f>
        <v>28.792680130120321</v>
      </c>
      <c r="M170" s="91">
        <v>28.798225861251801</v>
      </c>
      <c r="N170" s="92">
        <v>31.540914038513883</v>
      </c>
      <c r="O170" s="92">
        <v>30.169569949882842</v>
      </c>
      <c r="P170" s="92">
        <v>29.479259352480359</v>
      </c>
      <c r="Q170" s="92">
        <v>30.883033607360378</v>
      </c>
      <c r="R170" s="92">
        <v>30.883033607360378</v>
      </c>
      <c r="S170" s="94">
        <f t="shared" si="21"/>
        <v>30.29233940280827</v>
      </c>
      <c r="U170" t="s">
        <v>155</v>
      </c>
      <c r="V170" t="s">
        <v>208</v>
      </c>
      <c r="W170">
        <v>28.227926208194148</v>
      </c>
      <c r="X170">
        <v>26.883739245899189</v>
      </c>
      <c r="Y170">
        <v>30.916300132784066</v>
      </c>
      <c r="Z170">
        <v>28.019852601088232</v>
      </c>
      <c r="AA170">
        <v>29.354131296378146</v>
      </c>
      <c r="AB170">
        <v>29.354131296378146</v>
      </c>
      <c r="AC170">
        <v>28.792680130120321</v>
      </c>
      <c r="AD170">
        <v>28.798225861251801</v>
      </c>
      <c r="AE170">
        <v>31.540914038513883</v>
      </c>
      <c r="AF170">
        <v>30.169569949882842</v>
      </c>
      <c r="AG170">
        <v>29.479259352480359</v>
      </c>
      <c r="AH170">
        <v>30.883033607360378</v>
      </c>
      <c r="AI170">
        <v>30.883033607360378</v>
      </c>
      <c r="AJ170">
        <v>30.29233940280827</v>
      </c>
    </row>
    <row r="171" spans="1:36">
      <c r="A171" s="71" t="s">
        <v>155</v>
      </c>
      <c r="B171" s="17" t="s">
        <v>208</v>
      </c>
      <c r="C171" s="72" t="s">
        <v>243</v>
      </c>
      <c r="D171" s="72" t="s">
        <v>243</v>
      </c>
      <c r="E171" s="66" t="e">
        <f>VLOOKUP(D171,'[46]Yield Cal Oracle (base) '!$D:$E,2,0)</f>
        <v>#N/A</v>
      </c>
      <c r="F171" s="91">
        <v>96.48906490453173</v>
      </c>
      <c r="G171" s="92">
        <v>91.894347528125451</v>
      </c>
      <c r="H171" s="92">
        <v>105.67849965734426</v>
      </c>
      <c r="I171" s="92">
        <v>103.64140118416834</v>
      </c>
      <c r="J171" s="92">
        <v>108.57670600246207</v>
      </c>
      <c r="K171" s="92">
        <v>108.57670600246207</v>
      </c>
      <c r="L171" s="93">
        <f t="shared" si="22"/>
        <v>102.47612087984898</v>
      </c>
      <c r="M171" s="91">
        <v>116.95444357037363</v>
      </c>
      <c r="N171" s="92">
        <v>128.09296200564728</v>
      </c>
      <c r="O171" s="92">
        <v>122.52370278801047</v>
      </c>
      <c r="P171" s="92">
        <v>118.26237514304515</v>
      </c>
      <c r="Q171" s="92">
        <v>123.89391681652351</v>
      </c>
      <c r="R171" s="92">
        <v>123.89391681652351</v>
      </c>
      <c r="S171" s="94">
        <f t="shared" si="21"/>
        <v>122.27021952335393</v>
      </c>
      <c r="U171" t="s">
        <v>155</v>
      </c>
      <c r="V171" t="s">
        <v>208</v>
      </c>
      <c r="W171">
        <v>96.48906490453173</v>
      </c>
      <c r="X171">
        <v>91.894347528125451</v>
      </c>
      <c r="Y171">
        <v>105.67849965734426</v>
      </c>
      <c r="Z171">
        <v>103.64140118416834</v>
      </c>
      <c r="AA171">
        <v>108.57670600246207</v>
      </c>
      <c r="AB171">
        <v>108.57670600246207</v>
      </c>
      <c r="AC171">
        <v>102.47612087984898</v>
      </c>
      <c r="AD171">
        <v>116.95444357037363</v>
      </c>
      <c r="AE171">
        <v>128.09296200564728</v>
      </c>
      <c r="AF171">
        <v>122.52370278801047</v>
      </c>
      <c r="AG171">
        <v>118.26237514304515</v>
      </c>
      <c r="AH171">
        <v>123.89391681652351</v>
      </c>
      <c r="AI171">
        <v>123.89391681652351</v>
      </c>
      <c r="AJ171">
        <v>122.27021952335393</v>
      </c>
    </row>
    <row r="172" spans="1:36">
      <c r="A172" s="71" t="s">
        <v>155</v>
      </c>
      <c r="B172" s="17" t="s">
        <v>208</v>
      </c>
      <c r="C172" s="89" t="s">
        <v>244</v>
      </c>
      <c r="D172" s="89" t="s">
        <v>244</v>
      </c>
      <c r="E172" s="90" t="str">
        <f>VLOOKUP(D172,'[46]Yield Cal Oracle (base) '!$D:$E,2,0)</f>
        <v>TEPSLB20J227M25CS8R</v>
      </c>
      <c r="F172" s="91">
        <v>0.98184091158936193</v>
      </c>
      <c r="G172" s="92">
        <v>0.93508658246605891</v>
      </c>
      <c r="H172" s="92">
        <v>1.0753495698359676</v>
      </c>
      <c r="I172" s="92">
        <v>0.97460356873350373</v>
      </c>
      <c r="J172" s="92">
        <v>1.0210132624827182</v>
      </c>
      <c r="K172" s="92">
        <v>1.0210132624827182</v>
      </c>
      <c r="L172" s="93">
        <f t="shared" si="22"/>
        <v>1.0014845262650549</v>
      </c>
      <c r="M172" s="91">
        <v>1.0016774212609321</v>
      </c>
      <c r="N172" s="92">
        <v>1.0970752709048304</v>
      </c>
      <c r="O172" s="92">
        <v>1.0493763460828813</v>
      </c>
      <c r="P172" s="92">
        <v>1.0253655426949688</v>
      </c>
      <c r="Q172" s="92">
        <v>1.0741924732994912</v>
      </c>
      <c r="R172" s="92">
        <v>1.0741924732994912</v>
      </c>
      <c r="S172" s="94">
        <f t="shared" si="21"/>
        <v>1.0536465879237658</v>
      </c>
      <c r="U172" t="s">
        <v>155</v>
      </c>
      <c r="V172" t="s">
        <v>208</v>
      </c>
      <c r="W172">
        <v>0.98184091158936193</v>
      </c>
      <c r="X172">
        <v>0.93508658246605891</v>
      </c>
      <c r="Y172">
        <v>1.0753495698359676</v>
      </c>
      <c r="Z172">
        <v>0.97460356873350373</v>
      </c>
      <c r="AA172">
        <v>1.0210132624827182</v>
      </c>
      <c r="AB172">
        <v>1.0210132624827182</v>
      </c>
      <c r="AC172">
        <v>1.0014845262650549</v>
      </c>
      <c r="AD172">
        <v>1.0016774212609321</v>
      </c>
      <c r="AE172">
        <v>1.0970752709048304</v>
      </c>
      <c r="AF172">
        <v>1.0493763460828813</v>
      </c>
      <c r="AG172">
        <v>1.0253655426949688</v>
      </c>
      <c r="AH172">
        <v>1.0741924732994912</v>
      </c>
      <c r="AI172">
        <v>1.0741924732994912</v>
      </c>
      <c r="AJ172">
        <v>1.0536465879237658</v>
      </c>
    </row>
    <row r="173" spans="1:36">
      <c r="A173" s="71" t="s">
        <v>155</v>
      </c>
      <c r="B173" s="17" t="s">
        <v>208</v>
      </c>
      <c r="C173" s="89" t="s">
        <v>245</v>
      </c>
      <c r="D173" s="89" t="s">
        <v>245</v>
      </c>
      <c r="E173" s="90" t="str">
        <f>VLOOKUP(D173,'[46]Yield Cal Oracle (base) '!$D:$E,2,0)</f>
        <v>TEPSLB20J227M25HF8R</v>
      </c>
      <c r="F173" s="91">
        <v>188.20539432802136</v>
      </c>
      <c r="G173" s="92">
        <v>179.24323269335366</v>
      </c>
      <c r="H173" s="92">
        <v>206.12971759735674</v>
      </c>
      <c r="I173" s="92">
        <v>177.66828026017183</v>
      </c>
      <c r="J173" s="92">
        <v>186.12867455827524</v>
      </c>
      <c r="K173" s="92">
        <v>186.12867455827524</v>
      </c>
      <c r="L173" s="93">
        <f t="shared" si="22"/>
        <v>187.25066233257567</v>
      </c>
      <c r="M173" s="91">
        <v>185.47491681705813</v>
      </c>
      <c r="N173" s="92">
        <v>203.13919460915889</v>
      </c>
      <c r="O173" s="92">
        <v>194.30705571310853</v>
      </c>
      <c r="P173" s="92">
        <v>198.8632781610244</v>
      </c>
      <c r="Q173" s="92">
        <v>208.33295807345411</v>
      </c>
      <c r="R173" s="92">
        <v>208.33295807345411</v>
      </c>
      <c r="S173" s="94">
        <f t="shared" si="21"/>
        <v>199.74172690787637</v>
      </c>
      <c r="U173" t="s">
        <v>155</v>
      </c>
      <c r="V173" t="s">
        <v>208</v>
      </c>
      <c r="W173">
        <v>188.20539432802136</v>
      </c>
      <c r="X173">
        <v>179.24323269335366</v>
      </c>
      <c r="Y173">
        <v>206.12971759735674</v>
      </c>
      <c r="Z173">
        <v>177.66828026017183</v>
      </c>
      <c r="AA173">
        <v>186.12867455827524</v>
      </c>
      <c r="AB173">
        <v>186.12867455827524</v>
      </c>
      <c r="AC173">
        <v>187.25066233257567</v>
      </c>
      <c r="AD173">
        <v>185.47491681705813</v>
      </c>
      <c r="AE173">
        <v>203.13919460915889</v>
      </c>
      <c r="AF173">
        <v>194.30705571310853</v>
      </c>
      <c r="AG173">
        <v>198.8632781610244</v>
      </c>
      <c r="AH173">
        <v>208.33295807345411</v>
      </c>
      <c r="AI173">
        <v>208.33295807345411</v>
      </c>
      <c r="AJ173">
        <v>199.74172690787637</v>
      </c>
    </row>
    <row r="174" spans="1:36">
      <c r="A174" s="71" t="s">
        <v>155</v>
      </c>
      <c r="B174" s="17" t="s">
        <v>208</v>
      </c>
      <c r="C174" s="89" t="s">
        <v>246</v>
      </c>
      <c r="D174" s="89" t="s">
        <v>246</v>
      </c>
      <c r="E174" s="90" t="str">
        <f>VLOOKUP(D174,'[46]Yield Cal Oracle (base) '!$D:$E,2,0)</f>
        <v>TEPSLB20J227M25LQ8R</v>
      </c>
      <c r="F174" s="91">
        <v>171.23181997765752</v>
      </c>
      <c r="G174" s="92">
        <v>163.07792378824524</v>
      </c>
      <c r="H174" s="92">
        <v>187.53961235648202</v>
      </c>
      <c r="I174" s="92">
        <v>197.54971726149523</v>
      </c>
      <c r="J174" s="92">
        <v>206.95684665489978</v>
      </c>
      <c r="K174" s="92">
        <v>206.95684665489978</v>
      </c>
      <c r="L174" s="93">
        <f t="shared" si="22"/>
        <v>188.88546111561325</v>
      </c>
      <c r="M174" s="91">
        <v>211.45627374402855</v>
      </c>
      <c r="N174" s="92">
        <v>231.5949664815551</v>
      </c>
      <c r="O174" s="92">
        <v>221.52562011279187</v>
      </c>
      <c r="P174" s="92">
        <v>213.53063667542418</v>
      </c>
      <c r="Q174" s="92">
        <v>223.69876223139676</v>
      </c>
      <c r="R174" s="92">
        <v>223.69876223139676</v>
      </c>
      <c r="S174" s="94">
        <f t="shared" si="21"/>
        <v>220.91750357943224</v>
      </c>
      <c r="U174" t="s">
        <v>155</v>
      </c>
      <c r="V174" t="s">
        <v>208</v>
      </c>
      <c r="W174">
        <v>171.23181997765752</v>
      </c>
      <c r="X174">
        <v>163.07792378824524</v>
      </c>
      <c r="Y174">
        <v>187.53961235648202</v>
      </c>
      <c r="Z174">
        <v>197.54971726149523</v>
      </c>
      <c r="AA174">
        <v>206.95684665489978</v>
      </c>
      <c r="AB174">
        <v>206.95684665489978</v>
      </c>
      <c r="AC174">
        <v>188.88546111561325</v>
      </c>
      <c r="AD174">
        <v>211.45627374402855</v>
      </c>
      <c r="AE174">
        <v>231.5949664815551</v>
      </c>
      <c r="AF174">
        <v>221.52562011279187</v>
      </c>
      <c r="AG174">
        <v>213.53063667542418</v>
      </c>
      <c r="AH174">
        <v>223.69876223139676</v>
      </c>
      <c r="AI174">
        <v>223.69876223139676</v>
      </c>
      <c r="AJ174">
        <v>220.91750357943224</v>
      </c>
    </row>
    <row r="175" spans="1:36">
      <c r="A175" s="71" t="s">
        <v>155</v>
      </c>
      <c r="B175" s="17" t="s">
        <v>208</v>
      </c>
      <c r="C175" s="89" t="s">
        <v>247</v>
      </c>
      <c r="D175" s="89" t="s">
        <v>247</v>
      </c>
      <c r="E175" s="90" t="str">
        <f>VLOOKUP(D175,'[46]Yield Cal Oracle (base) '!$D:$E,2,0)</f>
        <v>TEPSLB20J227M25SK8R</v>
      </c>
      <c r="F175" s="91">
        <v>317.08109266405063</v>
      </c>
      <c r="G175" s="92">
        <v>301.98199301338155</v>
      </c>
      <c r="H175" s="92">
        <v>347.27929196538884</v>
      </c>
      <c r="I175" s="92">
        <v>312.20292200768063</v>
      </c>
      <c r="J175" s="92">
        <v>327.0697278175702</v>
      </c>
      <c r="K175" s="92">
        <v>327.0697278175702</v>
      </c>
      <c r="L175" s="93">
        <f t="shared" si="22"/>
        <v>322.11412588094032</v>
      </c>
      <c r="M175" s="91">
        <v>316.86583720432333</v>
      </c>
      <c r="N175" s="92">
        <v>347.04353598568747</v>
      </c>
      <c r="O175" s="92">
        <v>331.9546865950054</v>
      </c>
      <c r="P175" s="92">
        <v>321.74069623823613</v>
      </c>
      <c r="Q175" s="92">
        <v>337.06168177339021</v>
      </c>
      <c r="R175" s="92">
        <v>337.06168177339021</v>
      </c>
      <c r="S175" s="94">
        <f t="shared" si="21"/>
        <v>331.95468659500551</v>
      </c>
      <c r="U175" t="s">
        <v>155</v>
      </c>
      <c r="V175" t="s">
        <v>208</v>
      </c>
      <c r="W175">
        <v>317.08109266405063</v>
      </c>
      <c r="X175">
        <v>301.98199301338155</v>
      </c>
      <c r="Y175">
        <v>347.27929196538884</v>
      </c>
      <c r="Z175">
        <v>312.20292200768063</v>
      </c>
      <c r="AA175">
        <v>327.0697278175702</v>
      </c>
      <c r="AB175">
        <v>327.0697278175702</v>
      </c>
      <c r="AC175">
        <v>322.11412588094032</v>
      </c>
      <c r="AD175">
        <v>316.86583720432333</v>
      </c>
      <c r="AE175">
        <v>347.04353598568747</v>
      </c>
      <c r="AF175">
        <v>331.9546865950054</v>
      </c>
      <c r="AG175">
        <v>321.74069623823613</v>
      </c>
      <c r="AH175">
        <v>337.06168177339021</v>
      </c>
      <c r="AI175">
        <v>337.06168177339021</v>
      </c>
      <c r="AJ175">
        <v>331.95468659500551</v>
      </c>
    </row>
    <row r="176" spans="1:36">
      <c r="A176" s="71" t="s">
        <v>155</v>
      </c>
      <c r="B176" s="17" t="s">
        <v>208</v>
      </c>
      <c r="C176" s="89" t="s">
        <v>248</v>
      </c>
      <c r="D176" s="89" t="s">
        <v>248</v>
      </c>
      <c r="E176" s="90" t="str">
        <f>VLOOKUP(D176,'[46]Yield Cal Oracle (base) '!$D:$E,2,0)</f>
        <v>TEPSLB20J227M358R</v>
      </c>
      <c r="F176" s="91">
        <v>106.65454935063522</v>
      </c>
      <c r="G176" s="92">
        <v>101.57576128631928</v>
      </c>
      <c r="H176" s="92">
        <v>116.81212547926717</v>
      </c>
      <c r="I176" s="92">
        <v>105.01371012985624</v>
      </c>
      <c r="J176" s="92">
        <v>110.01436299318271</v>
      </c>
      <c r="K176" s="92">
        <v>110.01436299318271</v>
      </c>
      <c r="L176" s="93">
        <f t="shared" si="22"/>
        <v>108.34747870540723</v>
      </c>
      <c r="M176" s="91">
        <v>106.58214524145423</v>
      </c>
      <c r="N176" s="92">
        <v>116.73282574064034</v>
      </c>
      <c r="O176" s="92">
        <v>111.6574854910473</v>
      </c>
      <c r="P176" s="92">
        <v>108.22187055286126</v>
      </c>
      <c r="Q176" s="92">
        <v>113.37529296014037</v>
      </c>
      <c r="R176" s="92">
        <v>113.37529296014037</v>
      </c>
      <c r="S176" s="94">
        <f t="shared" si="21"/>
        <v>111.65748549104732</v>
      </c>
      <c r="U176" t="s">
        <v>155</v>
      </c>
      <c r="V176" t="s">
        <v>208</v>
      </c>
      <c r="W176">
        <v>106.65454935063522</v>
      </c>
      <c r="X176">
        <v>101.57576128631928</v>
      </c>
      <c r="Y176">
        <v>116.81212547926717</v>
      </c>
      <c r="Z176">
        <v>105.01371012985624</v>
      </c>
      <c r="AA176">
        <v>110.01436299318271</v>
      </c>
      <c r="AB176">
        <v>110.01436299318271</v>
      </c>
      <c r="AC176">
        <v>108.34747870540723</v>
      </c>
      <c r="AD176">
        <v>106.58214524145423</v>
      </c>
      <c r="AE176">
        <v>116.73282574064034</v>
      </c>
      <c r="AF176">
        <v>111.6574854910473</v>
      </c>
      <c r="AG176">
        <v>108.22187055286126</v>
      </c>
      <c r="AH176">
        <v>113.37529296014037</v>
      </c>
      <c r="AI176">
        <v>113.37529296014037</v>
      </c>
      <c r="AJ176">
        <v>111.65748549104732</v>
      </c>
    </row>
    <row r="177" spans="1:36">
      <c r="A177" s="71" t="s">
        <v>155</v>
      </c>
      <c r="B177" s="17" t="s">
        <v>208</v>
      </c>
      <c r="C177" s="89" t="s">
        <v>249</v>
      </c>
      <c r="D177" s="89" t="s">
        <v>249</v>
      </c>
      <c r="E177" s="90" t="str">
        <f>VLOOKUP(D177,'[46]Yield Cal Oracle (base) '!$D:$E,2,0)</f>
        <v>TEPSLB20J227M458R</v>
      </c>
      <c r="F177" s="91">
        <v>3.927737998319448</v>
      </c>
      <c r="G177" s="92">
        <v>3.7407028555423318</v>
      </c>
      <c r="H177" s="92">
        <v>4.3018082838736813</v>
      </c>
      <c r="I177" s="92">
        <v>3.8987858674739289</v>
      </c>
      <c r="J177" s="92">
        <v>4.0844423373536394</v>
      </c>
      <c r="K177" s="92">
        <v>4.0844423373536394</v>
      </c>
      <c r="L177" s="93">
        <f t="shared" si="22"/>
        <v>4.0063199466527779</v>
      </c>
      <c r="M177" s="91">
        <v>4.007078625825061</v>
      </c>
      <c r="N177" s="92">
        <v>4.3887051616179242</v>
      </c>
      <c r="O177" s="92">
        <v>4.1978918937214917</v>
      </c>
      <c r="P177" s="92">
        <v>4.1018398364399413</v>
      </c>
      <c r="Q177" s="92">
        <v>4.2971655429370808</v>
      </c>
      <c r="R177" s="92">
        <v>4.2971655429370808</v>
      </c>
      <c r="S177" s="94">
        <f t="shared" si="21"/>
        <v>4.2149744339130963</v>
      </c>
      <c r="U177" t="s">
        <v>155</v>
      </c>
      <c r="V177" t="s">
        <v>208</v>
      </c>
      <c r="W177">
        <v>3.927737998319448</v>
      </c>
      <c r="X177">
        <v>3.7407028555423318</v>
      </c>
      <c r="Y177">
        <v>4.3018082838736813</v>
      </c>
      <c r="Z177">
        <v>3.8987858674739289</v>
      </c>
      <c r="AA177">
        <v>4.0844423373536394</v>
      </c>
      <c r="AB177">
        <v>4.0844423373536394</v>
      </c>
      <c r="AC177">
        <v>4.0063199466527779</v>
      </c>
      <c r="AD177">
        <v>4.007078625825061</v>
      </c>
      <c r="AE177">
        <v>4.3887051616179242</v>
      </c>
      <c r="AF177">
        <v>4.1978918937214917</v>
      </c>
      <c r="AG177">
        <v>4.1018398364399413</v>
      </c>
      <c r="AH177">
        <v>4.2971655429370808</v>
      </c>
      <c r="AI177">
        <v>4.2971655429370808</v>
      </c>
      <c r="AJ177">
        <v>4.2149744339130963</v>
      </c>
    </row>
    <row r="178" spans="1:36">
      <c r="A178" s="71" t="s">
        <v>155</v>
      </c>
      <c r="B178" s="17" t="s">
        <v>208</v>
      </c>
      <c r="C178" s="89" t="s">
        <v>250</v>
      </c>
      <c r="D178" s="89" t="s">
        <v>250</v>
      </c>
      <c r="E178" s="90" t="str">
        <f>VLOOKUP(D178,'[46]Yield Cal Oracle (base) '!$D:$E,2,0)</f>
        <v>TEPSLB20J337M458R</v>
      </c>
      <c r="F178" s="91">
        <v>87.949423003034212</v>
      </c>
      <c r="G178" s="92">
        <v>83.761355240984969</v>
      </c>
      <c r="H178" s="92">
        <v>96.325558527132728</v>
      </c>
      <c r="I178" s="92">
        <v>86.60815680974045</v>
      </c>
      <c r="J178" s="92">
        <v>90.732354753061415</v>
      </c>
      <c r="K178" s="92">
        <v>90.732354753061415</v>
      </c>
      <c r="L178" s="93">
        <f t="shared" si="22"/>
        <v>89.351533847835867</v>
      </c>
      <c r="M178" s="91">
        <v>87.920471733070499</v>
      </c>
      <c r="N178" s="92">
        <v>96.293849993362926</v>
      </c>
      <c r="O178" s="92">
        <v>92.107160863216706</v>
      </c>
      <c r="P178" s="92">
        <v>89.285510924470501</v>
      </c>
      <c r="Q178" s="92">
        <v>93.537201920873855</v>
      </c>
      <c r="R178" s="92">
        <v>93.537201920873855</v>
      </c>
      <c r="S178" s="94">
        <f t="shared" si="21"/>
        <v>92.113566225978047</v>
      </c>
      <c r="U178" t="s">
        <v>155</v>
      </c>
      <c r="V178" t="s">
        <v>208</v>
      </c>
      <c r="W178">
        <v>87.949423003034212</v>
      </c>
      <c r="X178">
        <v>83.761355240984969</v>
      </c>
      <c r="Y178">
        <v>96.325558527132728</v>
      </c>
      <c r="Z178">
        <v>86.60815680974045</v>
      </c>
      <c r="AA178">
        <v>90.732354753061415</v>
      </c>
      <c r="AB178">
        <v>90.732354753061415</v>
      </c>
      <c r="AC178">
        <v>89.351533847835867</v>
      </c>
      <c r="AD178">
        <v>87.920471733070499</v>
      </c>
      <c r="AE178">
        <v>96.293849993362926</v>
      </c>
      <c r="AF178">
        <v>92.107160863216706</v>
      </c>
      <c r="AG178">
        <v>89.285510924470501</v>
      </c>
      <c r="AH178">
        <v>93.537201920873855</v>
      </c>
      <c r="AI178">
        <v>93.537201920873855</v>
      </c>
      <c r="AJ178">
        <v>92.113566225978047</v>
      </c>
    </row>
    <row r="179" spans="1:36">
      <c r="A179" s="71" t="s">
        <v>155</v>
      </c>
      <c r="B179" s="17" t="s">
        <v>208</v>
      </c>
      <c r="C179" s="89" t="s">
        <v>251</v>
      </c>
      <c r="D179" s="89" t="s">
        <v>251</v>
      </c>
      <c r="E179" s="90" t="str">
        <f>VLOOKUP(D179,'[46]Yield Cal Oracle (base) '!$D:$E,2,0)</f>
        <v>TEPSLB20J337M458RFL</v>
      </c>
      <c r="F179" s="91">
        <v>189.98621639254142</v>
      </c>
      <c r="G179" s="92">
        <v>180.9392537071823</v>
      </c>
      <c r="H179" s="92">
        <v>208.08014176325966</v>
      </c>
      <c r="I179" s="92">
        <v>188.58579054993285</v>
      </c>
      <c r="J179" s="92">
        <v>197.56606629040584</v>
      </c>
      <c r="K179" s="92">
        <v>197.56606629040584</v>
      </c>
      <c r="L179" s="93">
        <f t="shared" si="22"/>
        <v>193.787255832288</v>
      </c>
      <c r="M179" s="91">
        <v>193.8245810139903</v>
      </c>
      <c r="N179" s="92">
        <v>212.28406492008457</v>
      </c>
      <c r="O179" s="92">
        <v>203.05432296703745</v>
      </c>
      <c r="P179" s="92">
        <v>198.40823251147637</v>
      </c>
      <c r="Q179" s="92">
        <v>207.85624358345143</v>
      </c>
      <c r="R179" s="92">
        <v>207.85624358345143</v>
      </c>
      <c r="S179" s="94">
        <f t="shared" si="21"/>
        <v>203.88061476324859</v>
      </c>
      <c r="U179" t="s">
        <v>155</v>
      </c>
      <c r="V179" t="s">
        <v>208</v>
      </c>
      <c r="W179">
        <v>189.98621639254142</v>
      </c>
      <c r="X179">
        <v>180.9392537071823</v>
      </c>
      <c r="Y179">
        <v>208.08014176325966</v>
      </c>
      <c r="Z179">
        <v>188.58579054993285</v>
      </c>
      <c r="AA179">
        <v>197.56606629040584</v>
      </c>
      <c r="AB179">
        <v>197.56606629040584</v>
      </c>
      <c r="AC179">
        <v>193.787255832288</v>
      </c>
      <c r="AD179">
        <v>193.8245810139903</v>
      </c>
      <c r="AE179">
        <v>212.28406492008457</v>
      </c>
      <c r="AF179">
        <v>203.05432296703745</v>
      </c>
      <c r="AG179">
        <v>198.40823251147637</v>
      </c>
      <c r="AH179">
        <v>207.85624358345143</v>
      </c>
      <c r="AI179">
        <v>207.85624358345143</v>
      </c>
      <c r="AJ179">
        <v>203.88061476324859</v>
      </c>
    </row>
    <row r="180" spans="1:36">
      <c r="A180" s="71" t="s">
        <v>155</v>
      </c>
      <c r="B180" s="17" t="s">
        <v>208</v>
      </c>
      <c r="C180" s="72" t="s">
        <v>252</v>
      </c>
      <c r="D180" s="72" t="s">
        <v>252</v>
      </c>
      <c r="E180" s="66" t="e">
        <f>VLOOKUP(D180,'[46]Yield Cal Oracle (base) '!$D:$E,2,0)</f>
        <v>#N/A</v>
      </c>
      <c r="F180" s="91">
        <v>17.892296907702789</v>
      </c>
      <c r="G180" s="92">
        <v>17.040282769240747</v>
      </c>
      <c r="H180" s="92">
        <v>19.59632518462686</v>
      </c>
      <c r="I180" s="92">
        <v>19.812968099078279</v>
      </c>
      <c r="J180" s="92">
        <v>20.756442770462961</v>
      </c>
      <c r="K180" s="92">
        <v>20.756442770462961</v>
      </c>
      <c r="L180" s="93">
        <f t="shared" si="22"/>
        <v>19.3091264169291</v>
      </c>
      <c r="M180" s="91">
        <v>21.951868064319687</v>
      </c>
      <c r="N180" s="92">
        <v>24.042522165683469</v>
      </c>
      <c r="O180" s="92">
        <v>22.997195115001578</v>
      </c>
      <c r="P180" s="92">
        <v>22.289589111463069</v>
      </c>
      <c r="Q180" s="92">
        <v>23.350998116770832</v>
      </c>
      <c r="R180" s="92">
        <v>23.350998116770832</v>
      </c>
      <c r="S180" s="94">
        <f t="shared" si="21"/>
        <v>22.997195115001578</v>
      </c>
      <c r="U180" t="s">
        <v>155</v>
      </c>
      <c r="V180" t="s">
        <v>208</v>
      </c>
      <c r="W180">
        <v>17.892296907702789</v>
      </c>
      <c r="X180">
        <v>17.040282769240747</v>
      </c>
      <c r="Y180">
        <v>19.59632518462686</v>
      </c>
      <c r="Z180">
        <v>19.812968099078279</v>
      </c>
      <c r="AA180">
        <v>20.756442770462961</v>
      </c>
      <c r="AB180">
        <v>20.756442770462961</v>
      </c>
      <c r="AC180">
        <v>19.3091264169291</v>
      </c>
      <c r="AD180">
        <v>21.951868064319687</v>
      </c>
      <c r="AE180">
        <v>24.042522165683469</v>
      </c>
      <c r="AF180">
        <v>22.997195115001578</v>
      </c>
      <c r="AG180">
        <v>22.289589111463069</v>
      </c>
      <c r="AH180">
        <v>23.350998116770832</v>
      </c>
      <c r="AI180">
        <v>23.350998116770832</v>
      </c>
      <c r="AJ180">
        <v>22.997195115001578</v>
      </c>
    </row>
    <row r="181" spans="1:36">
      <c r="A181" s="71" t="s">
        <v>155</v>
      </c>
      <c r="B181" s="17" t="s">
        <v>208</v>
      </c>
      <c r="C181" s="89" t="s">
        <v>253</v>
      </c>
      <c r="D181" s="89" t="s">
        <v>253</v>
      </c>
      <c r="E181" s="90" t="str">
        <f>VLOOKUP(D181,'[46]Yield Cal Oracle (base) '!$D:$E,2,0)</f>
        <v>TEPSLB20J337M45HF8R</v>
      </c>
      <c r="F181" s="91">
        <v>105.80329707593793</v>
      </c>
      <c r="G181" s="92">
        <v>100.76504483422663</v>
      </c>
      <c r="H181" s="92">
        <v>115.87980155936062</v>
      </c>
      <c r="I181" s="92">
        <v>99.879654908165378</v>
      </c>
      <c r="J181" s="92">
        <v>104.63582895141134</v>
      </c>
      <c r="K181" s="92">
        <v>104.63582895141134</v>
      </c>
      <c r="L181" s="93">
        <f t="shared" si="22"/>
        <v>105.26657604675221</v>
      </c>
      <c r="M181" s="91">
        <v>104.26830641170596</v>
      </c>
      <c r="N181" s="92">
        <v>114.19862130805892</v>
      </c>
      <c r="O181" s="92">
        <v>109.23346385988245</v>
      </c>
      <c r="P181" s="92">
        <v>111.79483229951765</v>
      </c>
      <c r="Q181" s="92">
        <v>117.11839574235184</v>
      </c>
      <c r="R181" s="92">
        <v>117.11839574235184</v>
      </c>
      <c r="S181" s="94">
        <f t="shared" si="21"/>
        <v>112.28866922731144</v>
      </c>
      <c r="U181" t="s">
        <v>155</v>
      </c>
      <c r="V181" t="s">
        <v>208</v>
      </c>
      <c r="W181">
        <v>105.80329707593793</v>
      </c>
      <c r="X181">
        <v>100.76504483422663</v>
      </c>
      <c r="Y181">
        <v>115.87980155936062</v>
      </c>
      <c r="Z181">
        <v>99.879654908165378</v>
      </c>
      <c r="AA181">
        <v>104.63582895141134</v>
      </c>
      <c r="AB181">
        <v>104.63582895141134</v>
      </c>
      <c r="AC181">
        <v>105.26657604675221</v>
      </c>
      <c r="AD181">
        <v>104.26830641170596</v>
      </c>
      <c r="AE181">
        <v>114.19862130805892</v>
      </c>
      <c r="AF181">
        <v>109.23346385988245</v>
      </c>
      <c r="AG181">
        <v>111.79483229951765</v>
      </c>
      <c r="AH181">
        <v>117.11839574235184</v>
      </c>
      <c r="AI181">
        <v>117.11839574235184</v>
      </c>
      <c r="AJ181">
        <v>112.28866922731144</v>
      </c>
    </row>
    <row r="182" spans="1:36">
      <c r="A182" s="71" t="s">
        <v>155</v>
      </c>
      <c r="B182" s="17" t="s">
        <v>208</v>
      </c>
      <c r="C182" s="89" t="s">
        <v>254</v>
      </c>
      <c r="D182" s="89" t="s">
        <v>254</v>
      </c>
      <c r="E182" s="90" t="str">
        <f>VLOOKUP(D182,'[46]Yield Cal Oracle (base) '!$D:$E,2,0)</f>
        <v>TEPSLB21A107M458R</v>
      </c>
      <c r="F182" s="91">
        <v>0.98184091158936182</v>
      </c>
      <c r="G182" s="92">
        <v>0.93508658246605891</v>
      </c>
      <c r="H182" s="92">
        <v>1.0753495698359676</v>
      </c>
      <c r="I182" s="92">
        <v>0.97460356873350362</v>
      </c>
      <c r="J182" s="92">
        <v>1.0210132624827182</v>
      </c>
      <c r="K182" s="92">
        <v>1.0210132624827182</v>
      </c>
      <c r="L182" s="93">
        <f t="shared" si="22"/>
        <v>1.0014845262650549</v>
      </c>
      <c r="M182" s="91">
        <v>1.0016774212609321</v>
      </c>
      <c r="N182" s="92">
        <v>1.0970752709048304</v>
      </c>
      <c r="O182" s="92">
        <v>1.0493763460828811</v>
      </c>
      <c r="P182" s="92">
        <v>1.0253655426949688</v>
      </c>
      <c r="Q182" s="92">
        <v>1.074192473299491</v>
      </c>
      <c r="R182" s="92">
        <v>1.074192473299491</v>
      </c>
      <c r="S182" s="94">
        <f t="shared" si="21"/>
        <v>1.0536465879237658</v>
      </c>
      <c r="U182" t="s">
        <v>155</v>
      </c>
      <c r="V182" t="s">
        <v>208</v>
      </c>
      <c r="W182">
        <v>0.98184091158936182</v>
      </c>
      <c r="X182">
        <v>0.93508658246605891</v>
      </c>
      <c r="Y182">
        <v>1.0753495698359676</v>
      </c>
      <c r="Z182">
        <v>0.97460356873350362</v>
      </c>
      <c r="AA182">
        <v>1.0210132624827182</v>
      </c>
      <c r="AB182">
        <v>1.0210132624827182</v>
      </c>
      <c r="AC182">
        <v>1.0014845262650549</v>
      </c>
      <c r="AD182">
        <v>1.0016774212609321</v>
      </c>
      <c r="AE182">
        <v>1.0970752709048304</v>
      </c>
      <c r="AF182">
        <v>1.0493763460828811</v>
      </c>
      <c r="AG182">
        <v>1.0253655426949688</v>
      </c>
      <c r="AH182">
        <v>1.074192473299491</v>
      </c>
      <c r="AI182">
        <v>1.074192473299491</v>
      </c>
      <c r="AJ182">
        <v>1.0536465879237658</v>
      </c>
    </row>
    <row r="183" spans="1:36">
      <c r="A183" s="71" t="s">
        <v>155</v>
      </c>
      <c r="B183" s="17" t="s">
        <v>208</v>
      </c>
      <c r="C183" s="89" t="s">
        <v>255</v>
      </c>
      <c r="D183" s="89" t="s">
        <v>255</v>
      </c>
      <c r="E183" s="90" t="str">
        <f>VLOOKUP(D183,'[46]Yield Cal Oracle (base) '!$D:$E,2,0)</f>
        <v>TEPSLB21A107M458RFL</v>
      </c>
      <c r="F183" s="91">
        <v>151.20350038476172</v>
      </c>
      <c r="G183" s="92">
        <v>144.00333369977307</v>
      </c>
      <c r="H183" s="92">
        <v>165.60383375473899</v>
      </c>
      <c r="I183" s="92">
        <v>150.08894958495955</v>
      </c>
      <c r="J183" s="92">
        <v>157.23604242233858</v>
      </c>
      <c r="K183" s="92">
        <v>157.23604242233858</v>
      </c>
      <c r="L183" s="93">
        <f t="shared" si="22"/>
        <v>154.22861704481841</v>
      </c>
      <c r="M183" s="91">
        <v>154.25832287418353</v>
      </c>
      <c r="N183" s="92">
        <v>168.94959171934389</v>
      </c>
      <c r="O183" s="92">
        <v>161.6039572967637</v>
      </c>
      <c r="P183" s="92">
        <v>157.90629357502516</v>
      </c>
      <c r="Q183" s="92">
        <v>165.42564088812159</v>
      </c>
      <c r="R183" s="92">
        <v>165.42564088812159</v>
      </c>
      <c r="S183" s="94">
        <f t="shared" si="21"/>
        <v>162.26157454025994</v>
      </c>
      <c r="U183" t="s">
        <v>155</v>
      </c>
      <c r="V183" t="s">
        <v>208</v>
      </c>
      <c r="W183">
        <v>151.20350038476172</v>
      </c>
      <c r="X183">
        <v>144.00333369977307</v>
      </c>
      <c r="Y183">
        <v>165.60383375473899</v>
      </c>
      <c r="Z183">
        <v>150.08894958495955</v>
      </c>
      <c r="AA183">
        <v>157.23604242233858</v>
      </c>
      <c r="AB183">
        <v>157.23604242233858</v>
      </c>
      <c r="AC183">
        <v>154.22861704481841</v>
      </c>
      <c r="AD183">
        <v>154.25832287418353</v>
      </c>
      <c r="AE183">
        <v>168.94959171934389</v>
      </c>
      <c r="AF183">
        <v>161.6039572967637</v>
      </c>
      <c r="AG183">
        <v>157.90629357502516</v>
      </c>
      <c r="AH183">
        <v>165.42564088812159</v>
      </c>
      <c r="AI183">
        <v>165.42564088812159</v>
      </c>
      <c r="AJ183">
        <v>162.26157454025994</v>
      </c>
    </row>
    <row r="184" spans="1:36">
      <c r="A184" s="71" t="s">
        <v>155</v>
      </c>
      <c r="B184" s="17" t="s">
        <v>208</v>
      </c>
      <c r="C184" s="89" t="s">
        <v>256</v>
      </c>
      <c r="D184" s="89" t="s">
        <v>256</v>
      </c>
      <c r="E184" s="90" t="str">
        <f>VLOOKUP(D184,'[46]Yield Cal Oracle (base) '!$D:$E,2,0)</f>
        <v>TEPSLB21A226M8RF</v>
      </c>
      <c r="F184" s="91">
        <v>0.49092045579468085</v>
      </c>
      <c r="G184" s="92">
        <v>0.4675432912330294</v>
      </c>
      <c r="H184" s="92">
        <v>0.53767478491798371</v>
      </c>
      <c r="I184" s="92">
        <v>0.48730178436675176</v>
      </c>
      <c r="J184" s="92">
        <v>0.51050663124135898</v>
      </c>
      <c r="K184" s="92">
        <v>0.51050663124135898</v>
      </c>
      <c r="L184" s="93">
        <f t="shared" si="22"/>
        <v>0.50074226313252723</v>
      </c>
      <c r="M184" s="91">
        <v>0.50083871063046614</v>
      </c>
      <c r="N184" s="92">
        <v>0.5485376354524153</v>
      </c>
      <c r="O184" s="92">
        <v>0.52468817304144066</v>
      </c>
      <c r="P184" s="92">
        <v>0.51268277134748452</v>
      </c>
      <c r="Q184" s="92">
        <v>0.5370962366497456</v>
      </c>
      <c r="R184" s="92">
        <v>0.5370962366497456</v>
      </c>
      <c r="S184" s="94">
        <f t="shared" si="21"/>
        <v>0.52682329396188299</v>
      </c>
      <c r="U184" t="s">
        <v>155</v>
      </c>
      <c r="V184" t="s">
        <v>208</v>
      </c>
      <c r="W184">
        <v>0.49092045579468085</v>
      </c>
      <c r="X184">
        <v>0.4675432912330294</v>
      </c>
      <c r="Y184">
        <v>0.53767478491798371</v>
      </c>
      <c r="Z184">
        <v>0.48730178436675176</v>
      </c>
      <c r="AA184">
        <v>0.51050663124135898</v>
      </c>
      <c r="AB184">
        <v>0.51050663124135898</v>
      </c>
      <c r="AC184">
        <v>0.50074226313252723</v>
      </c>
      <c r="AD184">
        <v>0.50083871063046614</v>
      </c>
      <c r="AE184">
        <v>0.5485376354524153</v>
      </c>
      <c r="AF184">
        <v>0.52468817304144066</v>
      </c>
      <c r="AG184">
        <v>0.51268277134748452</v>
      </c>
      <c r="AH184">
        <v>0.5370962366497456</v>
      </c>
      <c r="AI184">
        <v>0.5370962366497456</v>
      </c>
      <c r="AJ184">
        <v>0.52682329396188299</v>
      </c>
    </row>
    <row r="185" spans="1:36">
      <c r="A185" s="71" t="s">
        <v>155</v>
      </c>
      <c r="B185" s="17" t="s">
        <v>208</v>
      </c>
      <c r="C185" s="89" t="s">
        <v>257</v>
      </c>
      <c r="D185" s="89" t="s">
        <v>257</v>
      </c>
      <c r="E185" s="90" t="str">
        <f>VLOOKUP(D185,'[46]Yield Cal Oracle (base) '!$D:$E,2,0)</f>
        <v>TEPSLB21A336M8R</v>
      </c>
      <c r="F185" s="91">
        <v>0.57651107757100128</v>
      </c>
      <c r="G185" s="92">
        <v>0.5490581691152393</v>
      </c>
      <c r="H185" s="92">
        <v>0.63141689448252514</v>
      </c>
      <c r="I185" s="92">
        <v>0.56764167637760121</v>
      </c>
      <c r="J185" s="92">
        <v>0.5946722323955822</v>
      </c>
      <c r="K185" s="92">
        <v>0.5946722323955822</v>
      </c>
      <c r="L185" s="93">
        <f t="shared" si="22"/>
        <v>0.58566204705625513</v>
      </c>
      <c r="M185" s="91">
        <v>0.57611970400786072</v>
      </c>
      <c r="N185" s="92">
        <v>0.63098824724670466</v>
      </c>
      <c r="O185" s="92">
        <v>0.60355397562728264</v>
      </c>
      <c r="P185" s="92">
        <v>0.58498308406952026</v>
      </c>
      <c r="Q185" s="92">
        <v>0.6128394214061641</v>
      </c>
      <c r="R185" s="92">
        <v>0.6128394214061641</v>
      </c>
      <c r="S185" s="94">
        <f t="shared" si="21"/>
        <v>0.60355397562728286</v>
      </c>
      <c r="U185" t="s">
        <v>155</v>
      </c>
      <c r="V185" t="s">
        <v>208</v>
      </c>
      <c r="W185">
        <v>0.57651107757100128</v>
      </c>
      <c r="X185">
        <v>0.5490581691152393</v>
      </c>
      <c r="Y185">
        <v>0.63141689448252514</v>
      </c>
      <c r="Z185">
        <v>0.56764167637760121</v>
      </c>
      <c r="AA185">
        <v>0.5946722323955822</v>
      </c>
      <c r="AB185">
        <v>0.5946722323955822</v>
      </c>
      <c r="AC185">
        <v>0.58566204705625513</v>
      </c>
      <c r="AD185">
        <v>0.57611970400786072</v>
      </c>
      <c r="AE185">
        <v>0.63098824724670466</v>
      </c>
      <c r="AF185">
        <v>0.60355397562728264</v>
      </c>
      <c r="AG185">
        <v>0.58498308406952026</v>
      </c>
      <c r="AH185">
        <v>0.6128394214061641</v>
      </c>
      <c r="AI185">
        <v>0.6128394214061641</v>
      </c>
      <c r="AJ185">
        <v>0.60355397562728286</v>
      </c>
    </row>
    <row r="186" spans="1:36">
      <c r="A186" s="71" t="s">
        <v>155</v>
      </c>
      <c r="B186" s="17" t="s">
        <v>208</v>
      </c>
      <c r="C186" s="72" t="s">
        <v>258</v>
      </c>
      <c r="D186" s="72" t="s">
        <v>258</v>
      </c>
      <c r="E186" s="66" t="e">
        <f>VLOOKUP(D186,'[46]Yield Cal Oracle (base) '!$D:$E,2,0)</f>
        <v>#N/A</v>
      </c>
      <c r="F186" s="91">
        <v>0.98184091158936182</v>
      </c>
      <c r="G186" s="92">
        <v>0.93508658246605891</v>
      </c>
      <c r="H186" s="92">
        <v>1.0753495698359674</v>
      </c>
      <c r="I186" s="92">
        <v>0.97460356873350384</v>
      </c>
      <c r="J186" s="92">
        <v>1.0210132624827184</v>
      </c>
      <c r="K186" s="92">
        <v>1.0210132624827184</v>
      </c>
      <c r="L186" s="93">
        <f t="shared" si="22"/>
        <v>1.0014845262650549</v>
      </c>
      <c r="M186" s="91">
        <v>1.0016774212609323</v>
      </c>
      <c r="N186" s="92">
        <v>1.0970752709048308</v>
      </c>
      <c r="O186" s="92">
        <v>1.0493763460828813</v>
      </c>
      <c r="P186" s="92">
        <v>1.025365542694969</v>
      </c>
      <c r="Q186" s="92">
        <v>1.0741924732994914</v>
      </c>
      <c r="R186" s="92">
        <v>1.0741924732994914</v>
      </c>
      <c r="S186" s="94">
        <f t="shared" si="21"/>
        <v>1.053646587923766</v>
      </c>
      <c r="U186" t="s">
        <v>155</v>
      </c>
      <c r="V186" t="s">
        <v>208</v>
      </c>
      <c r="W186">
        <v>0.98184091158936182</v>
      </c>
      <c r="X186">
        <v>0.93508658246605891</v>
      </c>
      <c r="Y186">
        <v>1.0753495698359674</v>
      </c>
      <c r="Z186">
        <v>0.97460356873350384</v>
      </c>
      <c r="AA186">
        <v>1.0210132624827184</v>
      </c>
      <c r="AB186">
        <v>1.0210132624827184</v>
      </c>
      <c r="AC186">
        <v>1.0014845262650549</v>
      </c>
      <c r="AD186">
        <v>1.0016774212609323</v>
      </c>
      <c r="AE186">
        <v>1.0970752709048308</v>
      </c>
      <c r="AF186">
        <v>1.0493763460828813</v>
      </c>
      <c r="AG186">
        <v>1.025365542694969</v>
      </c>
      <c r="AH186">
        <v>1.0741924732994914</v>
      </c>
      <c r="AI186">
        <v>1.0741924732994914</v>
      </c>
      <c r="AJ186">
        <v>1.053646587923766</v>
      </c>
    </row>
    <row r="187" spans="1:36">
      <c r="A187" s="71" t="s">
        <v>155</v>
      </c>
      <c r="B187" s="17" t="s">
        <v>208</v>
      </c>
      <c r="C187" s="89" t="s">
        <v>259</v>
      </c>
      <c r="D187" s="89" t="s">
        <v>259</v>
      </c>
      <c r="E187" s="90" t="str">
        <f>VLOOKUP(D187,'[46]Yield Cal Oracle (base) '!$D:$E,2,0)</f>
        <v>TEPSLB21A476M8R</v>
      </c>
      <c r="F187" s="91">
        <v>27.00062506870745</v>
      </c>
      <c r="G187" s="92">
        <v>25.714881017816619</v>
      </c>
      <c r="H187" s="92">
        <v>29.572113170489114</v>
      </c>
      <c r="I187" s="92">
        <v>26.80159814017135</v>
      </c>
      <c r="J187" s="92">
        <v>28.077864718274753</v>
      </c>
      <c r="K187" s="92">
        <v>28.077864718274753</v>
      </c>
      <c r="L187" s="93">
        <f t="shared" si="22"/>
        <v>27.540824472289007</v>
      </c>
      <c r="M187" s="91">
        <v>27.546129084675641</v>
      </c>
      <c r="N187" s="92">
        <v>30.169569949882842</v>
      </c>
      <c r="O187" s="92">
        <v>28.857849517279242</v>
      </c>
      <c r="P187" s="92">
        <v>28.197552424111645</v>
      </c>
      <c r="Q187" s="92">
        <v>29.540293015736008</v>
      </c>
      <c r="R187" s="92">
        <v>29.540293015736008</v>
      </c>
      <c r="S187" s="94">
        <f t="shared" si="21"/>
        <v>28.975281167903564</v>
      </c>
      <c r="U187" t="s">
        <v>155</v>
      </c>
      <c r="V187" t="s">
        <v>208</v>
      </c>
      <c r="W187">
        <v>27.00062506870745</v>
      </c>
      <c r="X187">
        <v>25.714881017816619</v>
      </c>
      <c r="Y187">
        <v>29.572113170489114</v>
      </c>
      <c r="Z187">
        <v>26.80159814017135</v>
      </c>
      <c r="AA187">
        <v>28.077864718274753</v>
      </c>
      <c r="AB187">
        <v>28.077864718274753</v>
      </c>
      <c r="AC187">
        <v>27.540824472289007</v>
      </c>
      <c r="AD187">
        <v>27.546129084675641</v>
      </c>
      <c r="AE187">
        <v>30.169569949882842</v>
      </c>
      <c r="AF187">
        <v>28.857849517279242</v>
      </c>
      <c r="AG187">
        <v>28.197552424111645</v>
      </c>
      <c r="AH187">
        <v>29.540293015736008</v>
      </c>
      <c r="AI187">
        <v>29.540293015736008</v>
      </c>
      <c r="AJ187">
        <v>28.975281167903564</v>
      </c>
    </row>
    <row r="188" spans="1:36">
      <c r="A188" s="71" t="s">
        <v>155</v>
      </c>
      <c r="B188" s="17" t="s">
        <v>208</v>
      </c>
      <c r="C188" s="107" t="s">
        <v>260</v>
      </c>
      <c r="D188" s="107" t="s">
        <v>260</v>
      </c>
      <c r="E188" s="90" t="str">
        <f>VLOOKUP(D188,'[46]Yield Cal Oracle (base) '!$D:$E,2,0)</f>
        <v>TEPSLB21A476M8RSY</v>
      </c>
      <c r="F188" s="91">
        <v>1.2273011394867022</v>
      </c>
      <c r="G188" s="92">
        <v>1.1688582280825732</v>
      </c>
      <c r="H188" s="92">
        <v>1.3441869622949596</v>
      </c>
      <c r="I188" s="92">
        <v>1.2182544609168797</v>
      </c>
      <c r="J188" s="92">
        <v>1.2762665781033977</v>
      </c>
      <c r="K188" s="92">
        <v>1.2762665781033977</v>
      </c>
      <c r="L188" s="93">
        <f t="shared" si="22"/>
        <v>1.2518556578313185</v>
      </c>
      <c r="M188" s="91">
        <v>1.2520967765761655</v>
      </c>
      <c r="N188" s="92">
        <v>1.3713440886310384</v>
      </c>
      <c r="O188" s="92">
        <v>1.3117204326036018</v>
      </c>
      <c r="P188" s="92">
        <v>1.2817069283687115</v>
      </c>
      <c r="Q188" s="92">
        <v>1.3427405916243642</v>
      </c>
      <c r="R188" s="92">
        <v>1.3427405916243642</v>
      </c>
      <c r="S188" s="94">
        <f t="shared" si="21"/>
        <v>1.3170582349047077</v>
      </c>
      <c r="U188" t="s">
        <v>155</v>
      </c>
      <c r="V188" t="s">
        <v>208</v>
      </c>
      <c r="W188">
        <v>1.2273011394867022</v>
      </c>
      <c r="X188">
        <v>1.1688582280825732</v>
      </c>
      <c r="Y188">
        <v>1.3441869622949596</v>
      </c>
      <c r="Z188">
        <v>1.2182544609168797</v>
      </c>
      <c r="AA188">
        <v>1.2762665781033977</v>
      </c>
      <c r="AB188">
        <v>1.2762665781033977</v>
      </c>
      <c r="AC188">
        <v>1.2518556578313185</v>
      </c>
      <c r="AD188">
        <v>1.2520967765761655</v>
      </c>
      <c r="AE188">
        <v>1.3713440886310384</v>
      </c>
      <c r="AF188">
        <v>1.3117204326036018</v>
      </c>
      <c r="AG188">
        <v>1.2817069283687115</v>
      </c>
      <c r="AH188">
        <v>1.3427405916243642</v>
      </c>
      <c r="AI188">
        <v>1.3427405916243642</v>
      </c>
      <c r="AJ188">
        <v>1.3170582349047077</v>
      </c>
    </row>
    <row r="189" spans="1:36">
      <c r="A189" s="71" t="s">
        <v>155</v>
      </c>
      <c r="B189" s="17" t="s">
        <v>208</v>
      </c>
      <c r="C189" s="89" t="s">
        <v>261</v>
      </c>
      <c r="D189" s="89" t="s">
        <v>261</v>
      </c>
      <c r="E189" s="90" t="str">
        <f>VLOOKUP(D189,'[46]Yield Cal Oracle (base) '!$D:$E,2,0)</f>
        <v>TEPSLB21C106M8R</v>
      </c>
      <c r="F189" s="91">
        <v>1.4727613673840421</v>
      </c>
      <c r="G189" s="92">
        <v>1.4026298736990876</v>
      </c>
      <c r="H189" s="92">
        <v>1.6130243547539507</v>
      </c>
      <c r="I189" s="92">
        <v>1.461905353100255</v>
      </c>
      <c r="J189" s="92">
        <v>1.5315198937240766</v>
      </c>
      <c r="K189" s="92">
        <v>1.5315198937240766</v>
      </c>
      <c r="L189" s="93">
        <f t="shared" si="22"/>
        <v>1.5022267893975814</v>
      </c>
      <c r="M189" s="91">
        <v>1.502516131891398</v>
      </c>
      <c r="N189" s="92">
        <v>1.6456129063572456</v>
      </c>
      <c r="O189" s="92">
        <v>1.5740645191243217</v>
      </c>
      <c r="P189" s="92">
        <v>1.5380483140424528</v>
      </c>
      <c r="Q189" s="92">
        <v>1.6112887099492363</v>
      </c>
      <c r="R189" s="92">
        <v>1.6112887099492363</v>
      </c>
      <c r="S189" s="94">
        <f t="shared" si="21"/>
        <v>1.5804698818856482</v>
      </c>
      <c r="U189" t="s">
        <v>155</v>
      </c>
      <c r="V189" t="s">
        <v>208</v>
      </c>
      <c r="W189">
        <v>1.4727613673840421</v>
      </c>
      <c r="X189">
        <v>1.4026298736990876</v>
      </c>
      <c r="Y189">
        <v>1.6130243547539507</v>
      </c>
      <c r="Z189">
        <v>1.461905353100255</v>
      </c>
      <c r="AA189">
        <v>1.5315198937240766</v>
      </c>
      <c r="AB189">
        <v>1.5315198937240766</v>
      </c>
      <c r="AC189">
        <v>1.5022267893975814</v>
      </c>
      <c r="AD189">
        <v>1.502516131891398</v>
      </c>
      <c r="AE189">
        <v>1.6456129063572456</v>
      </c>
      <c r="AF189">
        <v>1.5740645191243217</v>
      </c>
      <c r="AG189">
        <v>1.5380483140424528</v>
      </c>
      <c r="AH189">
        <v>1.6112887099492363</v>
      </c>
      <c r="AI189">
        <v>1.6112887099492363</v>
      </c>
      <c r="AJ189">
        <v>1.5804698818856482</v>
      </c>
    </row>
    <row r="190" spans="1:36">
      <c r="A190" s="71" t="s">
        <v>155</v>
      </c>
      <c r="B190" s="17" t="s">
        <v>208</v>
      </c>
      <c r="C190" s="89" t="s">
        <v>262</v>
      </c>
      <c r="D190" s="89" t="s">
        <v>262</v>
      </c>
      <c r="E190" s="90" t="str">
        <f>VLOOKUP(D190,'[46]Yield Cal Oracle (base) '!$D:$E,2,0)</f>
        <v>TEPSLB21C106M8RF</v>
      </c>
      <c r="F190" s="91">
        <v>0.9818409115893616</v>
      </c>
      <c r="G190" s="92">
        <v>0.93508658246605869</v>
      </c>
      <c r="H190" s="92">
        <v>1.0753495698359674</v>
      </c>
      <c r="I190" s="92">
        <v>0.97460356873350362</v>
      </c>
      <c r="J190" s="92">
        <v>1.021013262482718</v>
      </c>
      <c r="K190" s="92">
        <v>1.021013262482718</v>
      </c>
      <c r="L190" s="93">
        <f t="shared" si="22"/>
        <v>1.0014845262650545</v>
      </c>
      <c r="M190" s="91">
        <v>1.0016774212609323</v>
      </c>
      <c r="N190" s="92">
        <v>1.0970752709048304</v>
      </c>
      <c r="O190" s="92">
        <v>1.0493763460828813</v>
      </c>
      <c r="P190" s="92">
        <v>1.0253655426949688</v>
      </c>
      <c r="Q190" s="92">
        <v>1.0741924732994912</v>
      </c>
      <c r="R190" s="92">
        <v>1.0741924732994912</v>
      </c>
      <c r="S190" s="94">
        <f t="shared" si="21"/>
        <v>1.053646587923766</v>
      </c>
      <c r="U190" t="s">
        <v>155</v>
      </c>
      <c r="V190" t="s">
        <v>208</v>
      </c>
      <c r="W190">
        <v>0.9818409115893616</v>
      </c>
      <c r="X190">
        <v>0.93508658246605869</v>
      </c>
      <c r="Y190">
        <v>1.0753495698359674</v>
      </c>
      <c r="Z190">
        <v>0.97460356873350362</v>
      </c>
      <c r="AA190">
        <v>1.021013262482718</v>
      </c>
      <c r="AB190">
        <v>1.021013262482718</v>
      </c>
      <c r="AC190">
        <v>1.0014845262650545</v>
      </c>
      <c r="AD190">
        <v>1.0016774212609323</v>
      </c>
      <c r="AE190">
        <v>1.0970752709048304</v>
      </c>
      <c r="AF190">
        <v>1.0493763460828813</v>
      </c>
      <c r="AG190">
        <v>1.0253655426949688</v>
      </c>
      <c r="AH190">
        <v>1.0741924732994912</v>
      </c>
      <c r="AI190">
        <v>1.0741924732994912</v>
      </c>
      <c r="AJ190">
        <v>1.053646587923766</v>
      </c>
    </row>
    <row r="191" spans="1:36">
      <c r="A191" s="71" t="s">
        <v>155</v>
      </c>
      <c r="B191" s="17" t="s">
        <v>208</v>
      </c>
      <c r="C191" s="89" t="s">
        <v>263</v>
      </c>
      <c r="D191" s="89" t="s">
        <v>263</v>
      </c>
      <c r="E191" s="90" t="str">
        <f>VLOOKUP(D191,'[46]Yield Cal Oracle (base) '!$D:$E,2,0)</f>
        <v>TEPSLB21C336M8R</v>
      </c>
      <c r="F191" s="91">
        <v>227.40253102807756</v>
      </c>
      <c r="G191" s="92">
        <v>216.5738390743596</v>
      </c>
      <c r="H191" s="92">
        <v>249.05991493551352</v>
      </c>
      <c r="I191" s="92">
        <v>225.96263909997413</v>
      </c>
      <c r="J191" s="92">
        <v>236.72276477140147</v>
      </c>
      <c r="K191" s="92">
        <v>236.72276477140147</v>
      </c>
      <c r="L191" s="93">
        <f t="shared" si="22"/>
        <v>232.07407561345462</v>
      </c>
      <c r="M191" s="91">
        <v>230.12129497255424</v>
      </c>
      <c r="N191" s="92">
        <v>252.03760877946414</v>
      </c>
      <c r="O191" s="92">
        <v>241.07945187600924</v>
      </c>
      <c r="P191" s="92">
        <v>233.5821039171783</v>
      </c>
      <c r="Q191" s="92">
        <v>244.70506124656774</v>
      </c>
      <c r="R191" s="92">
        <v>244.70506124656774</v>
      </c>
      <c r="S191" s="94">
        <f t="shared" si="21"/>
        <v>241.03843033972359</v>
      </c>
      <c r="U191" t="s">
        <v>155</v>
      </c>
      <c r="V191" t="s">
        <v>208</v>
      </c>
      <c r="W191">
        <v>227.40253102807756</v>
      </c>
      <c r="X191">
        <v>216.5738390743596</v>
      </c>
      <c r="Y191">
        <v>249.05991493551352</v>
      </c>
      <c r="Z191">
        <v>225.96263909997413</v>
      </c>
      <c r="AA191">
        <v>236.72276477140147</v>
      </c>
      <c r="AB191">
        <v>236.72276477140147</v>
      </c>
      <c r="AC191">
        <v>232.07407561345462</v>
      </c>
      <c r="AD191">
        <v>230.12129497255424</v>
      </c>
      <c r="AE191">
        <v>252.03760877946414</v>
      </c>
      <c r="AF191">
        <v>241.07945187600924</v>
      </c>
      <c r="AG191">
        <v>233.5821039171783</v>
      </c>
      <c r="AH191">
        <v>244.70506124656774</v>
      </c>
      <c r="AI191">
        <v>244.70506124656774</v>
      </c>
      <c r="AJ191">
        <v>241.03843033972359</v>
      </c>
    </row>
    <row r="192" spans="1:36">
      <c r="A192" s="71" t="s">
        <v>155</v>
      </c>
      <c r="B192" s="17" t="s">
        <v>208</v>
      </c>
      <c r="C192" s="89" t="s">
        <v>264</v>
      </c>
      <c r="D192" s="89" t="s">
        <v>264</v>
      </c>
      <c r="E192" s="90" t="str">
        <f>VLOOKUP(D192,'[46]Yield Cal Oracle (base) '!$D:$E,2,0)</f>
        <v>TEPSLB21C336M8RF</v>
      </c>
      <c r="F192" s="91">
        <v>349.78082475371019</v>
      </c>
      <c r="G192" s="92">
        <v>333.12459500353344</v>
      </c>
      <c r="H192" s="92">
        <v>383.09328425406352</v>
      </c>
      <c r="I192" s="92">
        <v>347.20252136131069</v>
      </c>
      <c r="J192" s="92">
        <v>363.73597475946832</v>
      </c>
      <c r="K192" s="92">
        <v>363.73597475946832</v>
      </c>
      <c r="L192" s="93">
        <f t="shared" si="22"/>
        <v>356.77886248192573</v>
      </c>
      <c r="M192" s="91">
        <v>356.84758132420694</v>
      </c>
      <c r="N192" s="92">
        <v>390.83306525984574</v>
      </c>
      <c r="O192" s="92">
        <v>373.84032329202637</v>
      </c>
      <c r="P192" s="92">
        <v>365.2864745850826</v>
      </c>
      <c r="Q192" s="92">
        <v>382.6810686129437</v>
      </c>
      <c r="R192" s="92">
        <v>382.6810686129437</v>
      </c>
      <c r="S192" s="94">
        <f t="shared" si="21"/>
        <v>375.36159694784152</v>
      </c>
      <c r="U192" t="s">
        <v>155</v>
      </c>
      <c r="V192" t="s">
        <v>208</v>
      </c>
      <c r="W192">
        <v>349.78082475371019</v>
      </c>
      <c r="X192">
        <v>333.12459500353344</v>
      </c>
      <c r="Y192">
        <v>383.09328425406352</v>
      </c>
      <c r="Z192">
        <v>347.20252136131069</v>
      </c>
      <c r="AA192">
        <v>363.73597475946832</v>
      </c>
      <c r="AB192">
        <v>363.73597475946832</v>
      </c>
      <c r="AC192">
        <v>356.77886248192573</v>
      </c>
      <c r="AD192">
        <v>356.84758132420694</v>
      </c>
      <c r="AE192">
        <v>390.83306525984574</v>
      </c>
      <c r="AF192">
        <v>373.84032329202637</v>
      </c>
      <c r="AG192">
        <v>365.2864745850826</v>
      </c>
      <c r="AH192">
        <v>382.6810686129437</v>
      </c>
      <c r="AI192">
        <v>382.6810686129437</v>
      </c>
      <c r="AJ192">
        <v>375.36159694784152</v>
      </c>
    </row>
    <row r="193" spans="1:36">
      <c r="A193" s="71" t="s">
        <v>155</v>
      </c>
      <c r="B193" s="17" t="s">
        <v>208</v>
      </c>
      <c r="C193" s="72" t="s">
        <v>265</v>
      </c>
      <c r="D193" s="72" t="s">
        <v>265</v>
      </c>
      <c r="E193" s="66" t="e">
        <f>VLOOKUP(D193,'[46]Yield Cal Oracle (base) '!$D:$E,2,0)</f>
        <v>#N/A</v>
      </c>
      <c r="F193" s="91">
        <v>52.037568314236161</v>
      </c>
      <c r="G193" s="92">
        <v>49.559588870701106</v>
      </c>
      <c r="H193" s="92">
        <v>56.993527201306271</v>
      </c>
      <c r="I193" s="92">
        <v>51.653989142875687</v>
      </c>
      <c r="J193" s="92">
        <v>54.113702911584056</v>
      </c>
      <c r="K193" s="92">
        <v>54.113702911584056</v>
      </c>
      <c r="L193" s="93">
        <f t="shared" si="22"/>
        <v>53.078679892047887</v>
      </c>
      <c r="M193" s="91">
        <v>53.088903326829396</v>
      </c>
      <c r="N193" s="92">
        <v>58.144989357956007</v>
      </c>
      <c r="O193" s="92">
        <v>55.616946342392701</v>
      </c>
      <c r="P193" s="92">
        <v>54.344373762833335</v>
      </c>
      <c r="Q193" s="92">
        <v>56.932201084873014</v>
      </c>
      <c r="R193" s="92">
        <v>56.932201084873014</v>
      </c>
      <c r="S193" s="94">
        <f t="shared" si="21"/>
        <v>55.843269159959583</v>
      </c>
      <c r="U193" t="s">
        <v>155</v>
      </c>
      <c r="V193" t="s">
        <v>208</v>
      </c>
      <c r="W193">
        <v>52.037568314236161</v>
      </c>
      <c r="X193">
        <v>49.559588870701106</v>
      </c>
      <c r="Y193">
        <v>56.993527201306271</v>
      </c>
      <c r="Z193">
        <v>51.653989142875687</v>
      </c>
      <c r="AA193">
        <v>54.113702911584056</v>
      </c>
      <c r="AB193">
        <v>54.113702911584056</v>
      </c>
      <c r="AC193">
        <v>53.078679892047887</v>
      </c>
      <c r="AD193">
        <v>53.088903326829396</v>
      </c>
      <c r="AE193">
        <v>58.144989357956007</v>
      </c>
      <c r="AF193">
        <v>55.616946342392701</v>
      </c>
      <c r="AG193">
        <v>54.344373762833335</v>
      </c>
      <c r="AH193">
        <v>56.932201084873014</v>
      </c>
      <c r="AI193">
        <v>56.932201084873014</v>
      </c>
      <c r="AJ193">
        <v>55.843269159959583</v>
      </c>
    </row>
    <row r="194" spans="1:36">
      <c r="A194" s="71" t="s">
        <v>155</v>
      </c>
      <c r="B194" s="17" t="s">
        <v>208</v>
      </c>
      <c r="C194" s="89" t="s">
        <v>266</v>
      </c>
      <c r="D194" s="89" t="s">
        <v>266</v>
      </c>
      <c r="E194" s="90" t="str">
        <f>VLOOKUP(D194,'[46]Yield Cal Oracle (base) '!$D:$E,2,0)</f>
        <v>TEPSLB21C475M8R</v>
      </c>
      <c r="F194" s="91">
        <v>1.7295332327130035</v>
      </c>
      <c r="G194" s="92">
        <v>1.6471745073457178</v>
      </c>
      <c r="H194" s="92">
        <v>1.8942506834475754</v>
      </c>
      <c r="I194" s="92">
        <v>1.7029250291328037</v>
      </c>
      <c r="J194" s="92">
        <v>1.7840166971867468</v>
      </c>
      <c r="K194" s="92">
        <v>1.7840166971867468</v>
      </c>
      <c r="L194" s="93">
        <f t="shared" si="22"/>
        <v>1.7569861411687657</v>
      </c>
      <c r="M194" s="91">
        <v>1.7283591120235819</v>
      </c>
      <c r="N194" s="92">
        <v>1.8929647417401134</v>
      </c>
      <c r="O194" s="92">
        <v>1.8106619268818476</v>
      </c>
      <c r="P194" s="92">
        <v>1.7549492522085606</v>
      </c>
      <c r="Q194" s="92">
        <v>1.8385182642184918</v>
      </c>
      <c r="R194" s="92">
        <v>1.8385182642184918</v>
      </c>
      <c r="S194" s="94">
        <f t="shared" si="21"/>
        <v>1.8106619268818476</v>
      </c>
      <c r="U194" t="s">
        <v>155</v>
      </c>
      <c r="V194" t="s">
        <v>208</v>
      </c>
      <c r="W194">
        <v>1.7295332327130035</v>
      </c>
      <c r="X194">
        <v>1.6471745073457178</v>
      </c>
      <c r="Y194">
        <v>1.8942506834475754</v>
      </c>
      <c r="Z194">
        <v>1.7029250291328037</v>
      </c>
      <c r="AA194">
        <v>1.7840166971867468</v>
      </c>
      <c r="AB194">
        <v>1.7840166971867468</v>
      </c>
      <c r="AC194">
        <v>1.7569861411687657</v>
      </c>
      <c r="AD194">
        <v>1.7283591120235819</v>
      </c>
      <c r="AE194">
        <v>1.8929647417401134</v>
      </c>
      <c r="AF194">
        <v>1.8106619268818476</v>
      </c>
      <c r="AG194">
        <v>1.7549492522085606</v>
      </c>
      <c r="AH194">
        <v>1.8385182642184918</v>
      </c>
      <c r="AI194">
        <v>1.8385182642184918</v>
      </c>
      <c r="AJ194">
        <v>1.8106619268818476</v>
      </c>
    </row>
    <row r="195" spans="1:36">
      <c r="A195" s="71" t="s">
        <v>155</v>
      </c>
      <c r="B195" s="17" t="s">
        <v>208</v>
      </c>
      <c r="C195" s="89" t="s">
        <v>267</v>
      </c>
      <c r="D195" s="89" t="s">
        <v>267</v>
      </c>
      <c r="E195" s="90" t="str">
        <f>VLOOKUP(D195,'[46]Yield Cal Oracle (base) '!$D:$E,2,0)</f>
        <v>TEPSLB21D336M8R</v>
      </c>
      <c r="F195" s="91">
        <v>12.971499245347527</v>
      </c>
      <c r="G195" s="92">
        <v>12.353808805092884</v>
      </c>
      <c r="H195" s="92">
        <v>14.206880125856815</v>
      </c>
      <c r="I195" s="92">
        <v>12.771937718496025</v>
      </c>
      <c r="J195" s="92">
        <v>13.380125228900599</v>
      </c>
      <c r="K195" s="92">
        <v>13.380125228900599</v>
      </c>
      <c r="L195" s="93">
        <f t="shared" si="22"/>
        <v>13.177396058765742</v>
      </c>
      <c r="M195" s="91">
        <v>12.962693340176864</v>
      </c>
      <c r="N195" s="92">
        <v>14.197235563050851</v>
      </c>
      <c r="O195" s="92">
        <v>13.579964451613858</v>
      </c>
      <c r="P195" s="92">
        <v>13.162119391564207</v>
      </c>
      <c r="Q195" s="92">
        <v>13.788886981638694</v>
      </c>
      <c r="R195" s="92">
        <v>13.788886981638694</v>
      </c>
      <c r="S195" s="94">
        <f t="shared" si="21"/>
        <v>13.579964451613861</v>
      </c>
      <c r="U195" t="s">
        <v>155</v>
      </c>
      <c r="V195" t="s">
        <v>208</v>
      </c>
      <c r="W195">
        <v>12.971499245347527</v>
      </c>
      <c r="X195">
        <v>12.353808805092884</v>
      </c>
      <c r="Y195">
        <v>14.206880125856815</v>
      </c>
      <c r="Z195">
        <v>12.771937718496025</v>
      </c>
      <c r="AA195">
        <v>13.380125228900599</v>
      </c>
      <c r="AB195">
        <v>13.380125228900599</v>
      </c>
      <c r="AC195">
        <v>13.177396058765742</v>
      </c>
      <c r="AD195">
        <v>12.962693340176864</v>
      </c>
      <c r="AE195">
        <v>14.197235563050851</v>
      </c>
      <c r="AF195">
        <v>13.579964451613858</v>
      </c>
      <c r="AG195">
        <v>13.162119391564207</v>
      </c>
      <c r="AH195">
        <v>13.788886981638694</v>
      </c>
      <c r="AI195">
        <v>13.788886981638694</v>
      </c>
      <c r="AJ195">
        <v>13.579964451613861</v>
      </c>
    </row>
    <row r="196" spans="1:36">
      <c r="A196" s="71" t="s">
        <v>155</v>
      </c>
      <c r="B196" s="17" t="s">
        <v>208</v>
      </c>
      <c r="C196" s="72" t="s">
        <v>268</v>
      </c>
      <c r="D196" s="72" t="s">
        <v>268</v>
      </c>
      <c r="E196" s="66" t="e">
        <f>VLOOKUP(D196,'[46]Yield Cal Oracle (base) '!$D:$E,2,0)</f>
        <v>#N/A</v>
      </c>
      <c r="F196" s="91">
        <v>5.432366919733</v>
      </c>
      <c r="G196" s="92">
        <v>5.173682780698095</v>
      </c>
      <c r="H196" s="92">
        <v>5.9497351978028092</v>
      </c>
      <c r="I196" s="92">
        <v>5.8350458662306908</v>
      </c>
      <c r="J196" s="92">
        <v>6.1129051931940568</v>
      </c>
      <c r="K196" s="92">
        <v>6.1129051931940568</v>
      </c>
      <c r="L196" s="93">
        <f t="shared" si="22"/>
        <v>5.7694401918087843</v>
      </c>
      <c r="M196" s="91">
        <v>6.8713361596093181</v>
      </c>
      <c r="N196" s="92">
        <v>7.5257491271911574</v>
      </c>
      <c r="O196" s="92">
        <v>7.1985426434002386</v>
      </c>
      <c r="P196" s="92">
        <v>6.4786883790602143</v>
      </c>
      <c r="Q196" s="92">
        <v>6.7871973494916524</v>
      </c>
      <c r="R196" s="92">
        <v>6.7871973494916524</v>
      </c>
      <c r="S196" s="94">
        <f t="shared" si="21"/>
        <v>6.9414518347073724</v>
      </c>
      <c r="U196" t="s">
        <v>155</v>
      </c>
      <c r="V196" t="s">
        <v>208</v>
      </c>
      <c r="W196">
        <v>5.432366919733</v>
      </c>
      <c r="X196">
        <v>5.173682780698095</v>
      </c>
      <c r="Y196">
        <v>5.9497351978028092</v>
      </c>
      <c r="Z196">
        <v>5.8350458662306908</v>
      </c>
      <c r="AA196">
        <v>6.1129051931940568</v>
      </c>
      <c r="AB196">
        <v>6.1129051931940568</v>
      </c>
      <c r="AC196">
        <v>5.7694401918087843</v>
      </c>
      <c r="AD196">
        <v>6.8713361596093181</v>
      </c>
      <c r="AE196">
        <v>7.5257491271911574</v>
      </c>
      <c r="AF196">
        <v>7.1985426434002386</v>
      </c>
      <c r="AG196">
        <v>6.4786883790602143</v>
      </c>
      <c r="AH196">
        <v>6.7871973494916524</v>
      </c>
      <c r="AI196">
        <v>6.7871973494916524</v>
      </c>
      <c r="AJ196">
        <v>6.9414518347073724</v>
      </c>
    </row>
    <row r="197" spans="1:36">
      <c r="A197" s="71" t="s">
        <v>155</v>
      </c>
      <c r="B197" s="17" t="s">
        <v>208</v>
      </c>
      <c r="C197" s="89" t="s">
        <v>269</v>
      </c>
      <c r="D197" s="89" t="s">
        <v>269</v>
      </c>
      <c r="E197" s="90" t="str">
        <f>VLOOKUP(D197,'[46]Yield Cal Oracle (base) '!$D:$E,2,0)</f>
        <v>TEPSLB21E156M8R</v>
      </c>
      <c r="F197" s="91">
        <v>4511.1991819930836</v>
      </c>
      <c r="G197" s="92">
        <v>4296.3801733267474</v>
      </c>
      <c r="H197" s="92">
        <v>4940.8371993257597</v>
      </c>
      <c r="I197" s="92">
        <v>4441.7961176547296</v>
      </c>
      <c r="J197" s="92">
        <v>4653.3102184954314</v>
      </c>
      <c r="K197" s="92">
        <v>4653.3102184954314</v>
      </c>
      <c r="L197" s="93">
        <f t="shared" si="22"/>
        <v>4582.8055182151975</v>
      </c>
      <c r="M197" s="91">
        <v>4508.1366838615095</v>
      </c>
      <c r="N197" s="92">
        <v>4937.4830347054631</v>
      </c>
      <c r="O197" s="92">
        <v>4722.8098592834867</v>
      </c>
      <c r="P197" s="92">
        <v>4577.492632843996</v>
      </c>
      <c r="Q197" s="92">
        <v>4795.4684725032339</v>
      </c>
      <c r="R197" s="92">
        <v>4795.4684725032339</v>
      </c>
      <c r="S197" s="94">
        <f t="shared" si="21"/>
        <v>4722.8098592834876</v>
      </c>
      <c r="U197" t="s">
        <v>155</v>
      </c>
      <c r="V197" t="s">
        <v>208</v>
      </c>
      <c r="W197">
        <v>4511.1991819930836</v>
      </c>
      <c r="X197">
        <v>4296.3801733267474</v>
      </c>
      <c r="Y197">
        <v>4940.8371993257597</v>
      </c>
      <c r="Z197">
        <v>4441.7961176547296</v>
      </c>
      <c r="AA197">
        <v>4653.3102184954314</v>
      </c>
      <c r="AB197">
        <v>4653.3102184954314</v>
      </c>
      <c r="AC197">
        <v>4582.8055182151975</v>
      </c>
      <c r="AD197">
        <v>4508.1366838615095</v>
      </c>
      <c r="AE197">
        <v>4937.4830347054631</v>
      </c>
      <c r="AF197">
        <v>4722.8098592834867</v>
      </c>
      <c r="AG197">
        <v>4577.492632843996</v>
      </c>
      <c r="AH197">
        <v>4795.4684725032339</v>
      </c>
      <c r="AI197">
        <v>4795.4684725032339</v>
      </c>
      <c r="AJ197">
        <v>4722.8098592834876</v>
      </c>
    </row>
    <row r="198" spans="1:36">
      <c r="A198" s="71" t="s">
        <v>155</v>
      </c>
      <c r="B198" s="17" t="s">
        <v>208</v>
      </c>
      <c r="C198" s="89" t="s">
        <v>270</v>
      </c>
      <c r="D198" s="89" t="s">
        <v>270</v>
      </c>
      <c r="E198" s="90" t="str">
        <f>VLOOKUP(D198,'[46]Yield Cal Oracle (base) '!$D:$E,2,0)</f>
        <v>TEPSLB21E156M8RF</v>
      </c>
      <c r="F198" s="91">
        <v>981.84091158936178</v>
      </c>
      <c r="G198" s="92">
        <v>935.08658246605864</v>
      </c>
      <c r="H198" s="92">
        <v>1075.3495698359675</v>
      </c>
      <c r="I198" s="92">
        <v>974.60356873350361</v>
      </c>
      <c r="J198" s="92">
        <v>1021.0132624827182</v>
      </c>
      <c r="K198" s="92">
        <v>1021.0132624827182</v>
      </c>
      <c r="L198" s="93">
        <f t="shared" si="22"/>
        <v>1001.4845262650547</v>
      </c>
      <c r="M198" s="91">
        <v>1001.677421260932</v>
      </c>
      <c r="N198" s="92">
        <v>1097.0752709048304</v>
      </c>
      <c r="O198" s="92">
        <v>1049.3763460828811</v>
      </c>
      <c r="P198" s="92">
        <v>1025.3655426949688</v>
      </c>
      <c r="Q198" s="92">
        <v>1074.1924732994912</v>
      </c>
      <c r="R198" s="92">
        <v>1074.1924732994912</v>
      </c>
      <c r="S198" s="94">
        <f t="shared" si="21"/>
        <v>1053.6465879237658</v>
      </c>
      <c r="U198" t="s">
        <v>155</v>
      </c>
      <c r="V198" t="s">
        <v>208</v>
      </c>
      <c r="W198">
        <v>981.84091158936178</v>
      </c>
      <c r="X198">
        <v>935.08658246605864</v>
      </c>
      <c r="Y198">
        <v>1075.3495698359675</v>
      </c>
      <c r="Z198">
        <v>974.60356873350361</v>
      </c>
      <c r="AA198">
        <v>1021.0132624827182</v>
      </c>
      <c r="AB198">
        <v>1021.0132624827182</v>
      </c>
      <c r="AC198">
        <v>1001.4845262650547</v>
      </c>
      <c r="AD198">
        <v>1001.677421260932</v>
      </c>
      <c r="AE198">
        <v>1097.0752709048304</v>
      </c>
      <c r="AF198">
        <v>1049.3763460828811</v>
      </c>
      <c r="AG198">
        <v>1025.3655426949688</v>
      </c>
      <c r="AH198">
        <v>1074.1924732994912</v>
      </c>
      <c r="AI198">
        <v>1074.1924732994912</v>
      </c>
      <c r="AJ198">
        <v>1053.6465879237658</v>
      </c>
    </row>
    <row r="199" spans="1:36">
      <c r="A199" s="71" t="s">
        <v>155</v>
      </c>
      <c r="B199" s="17" t="s">
        <v>208</v>
      </c>
      <c r="C199" s="89" t="s">
        <v>271</v>
      </c>
      <c r="D199" s="89" t="s">
        <v>271</v>
      </c>
      <c r="E199" s="90" t="str">
        <f>VLOOKUP(D199,'[46]Yield Cal Oracle (base) '!$D:$E,2,0)</f>
        <v>TEPSLB21E226M8R</v>
      </c>
      <c r="F199" s="91">
        <v>2700.5268847914735</v>
      </c>
      <c r="G199" s="92">
        <v>2571.9303664680701</v>
      </c>
      <c r="H199" s="92">
        <v>2957.7199214382808</v>
      </c>
      <c r="I199" s="92">
        <v>3055.8711967043382</v>
      </c>
      <c r="J199" s="92">
        <v>3201.388872737878</v>
      </c>
      <c r="K199" s="92">
        <v>3201.388872737878</v>
      </c>
      <c r="L199" s="93">
        <f t="shared" si="22"/>
        <v>2948.1376858129865</v>
      </c>
      <c r="M199" s="91">
        <v>3251.7172238194926</v>
      </c>
      <c r="N199" s="92">
        <v>3561.4045784689683</v>
      </c>
      <c r="O199" s="92">
        <v>3406.5609011442307</v>
      </c>
      <c r="P199" s="92">
        <v>3285.5968486622228</v>
      </c>
      <c r="Q199" s="92">
        <v>3442.0538414556618</v>
      </c>
      <c r="R199" s="92">
        <v>3442.0538414556618</v>
      </c>
      <c r="S199" s="94">
        <f t="shared" si="21"/>
        <v>3398.2312058343728</v>
      </c>
      <c r="U199" t="s">
        <v>155</v>
      </c>
      <c r="V199" t="s">
        <v>208</v>
      </c>
      <c r="W199">
        <v>2700.5268847914735</v>
      </c>
      <c r="X199">
        <v>2571.9303664680701</v>
      </c>
      <c r="Y199">
        <v>2957.7199214382808</v>
      </c>
      <c r="Z199">
        <v>3055.8711967043382</v>
      </c>
      <c r="AA199">
        <v>3201.388872737878</v>
      </c>
      <c r="AB199">
        <v>3201.388872737878</v>
      </c>
      <c r="AC199">
        <v>2948.1376858129865</v>
      </c>
      <c r="AD199">
        <v>3251.7172238194926</v>
      </c>
      <c r="AE199">
        <v>3561.4045784689683</v>
      </c>
      <c r="AF199">
        <v>3406.5609011442307</v>
      </c>
      <c r="AG199">
        <v>3285.5968486622228</v>
      </c>
      <c r="AH199">
        <v>3442.0538414556618</v>
      </c>
      <c r="AI199">
        <v>3442.0538414556618</v>
      </c>
      <c r="AJ199">
        <v>3398.2312058343728</v>
      </c>
    </row>
    <row r="200" spans="1:36">
      <c r="A200" s="71" t="s">
        <v>155</v>
      </c>
      <c r="B200" s="17" t="s">
        <v>208</v>
      </c>
      <c r="C200" s="89" t="s">
        <v>272</v>
      </c>
      <c r="D200" s="89" t="s">
        <v>272</v>
      </c>
      <c r="E200" s="90" t="str">
        <f>VLOOKUP(D200,'[46]Yield Cal Oracle (base) '!$D:$E,2,0)</f>
        <v>TEPSLB21E226M8RLG</v>
      </c>
      <c r="F200" s="91">
        <v>248.65133359011978</v>
      </c>
      <c r="G200" s="92">
        <v>236.81079389535216</v>
      </c>
      <c r="H200" s="92">
        <v>272.33241297965498</v>
      </c>
      <c r="I200" s="92">
        <v>246.81847560720584</v>
      </c>
      <c r="J200" s="92">
        <v>258.57173635040613</v>
      </c>
      <c r="K200" s="92">
        <v>258.57173635040613</v>
      </c>
      <c r="L200" s="93">
        <f t="shared" si="22"/>
        <v>253.6260814621908</v>
      </c>
      <c r="M200" s="91">
        <v>253.67493214400875</v>
      </c>
      <c r="N200" s="92">
        <v>277.83444949105717</v>
      </c>
      <c r="O200" s="92">
        <v>265.754690817533</v>
      </c>
      <c r="P200" s="92">
        <v>259.67395185819373</v>
      </c>
      <c r="Q200" s="92">
        <v>272.03937813715532</v>
      </c>
      <c r="R200" s="92">
        <v>272.03937813715532</v>
      </c>
      <c r="S200" s="94">
        <f t="shared" si="21"/>
        <v>266.83613009751724</v>
      </c>
      <c r="U200" t="s">
        <v>155</v>
      </c>
      <c r="V200" t="s">
        <v>208</v>
      </c>
      <c r="W200">
        <v>248.65133359011978</v>
      </c>
      <c r="X200">
        <v>236.81079389535216</v>
      </c>
      <c r="Y200">
        <v>272.33241297965498</v>
      </c>
      <c r="Z200">
        <v>246.81847560720584</v>
      </c>
      <c r="AA200">
        <v>258.57173635040613</v>
      </c>
      <c r="AB200">
        <v>258.57173635040613</v>
      </c>
      <c r="AC200">
        <v>253.6260814621908</v>
      </c>
      <c r="AD200">
        <v>253.67493214400875</v>
      </c>
      <c r="AE200">
        <v>277.83444949105717</v>
      </c>
      <c r="AF200">
        <v>265.754690817533</v>
      </c>
      <c r="AG200">
        <v>259.67395185819373</v>
      </c>
      <c r="AH200">
        <v>272.03937813715532</v>
      </c>
      <c r="AI200">
        <v>272.03937813715532</v>
      </c>
      <c r="AJ200">
        <v>266.83613009751724</v>
      </c>
    </row>
    <row r="201" spans="1:36">
      <c r="A201" s="71" t="s">
        <v>155</v>
      </c>
      <c r="B201" s="17" t="s">
        <v>208</v>
      </c>
      <c r="C201" s="72" t="s">
        <v>273</v>
      </c>
      <c r="D201" s="72" t="s">
        <v>273</v>
      </c>
      <c r="E201" s="66" t="e">
        <f>VLOOKUP(D201,'[46]Yield Cal Oracle (base) '!$D:$E,2,0)</f>
        <v>#N/A</v>
      </c>
      <c r="F201" s="91">
        <v>11.782090939072337</v>
      </c>
      <c r="G201" s="92">
        <v>11.221038989592703</v>
      </c>
      <c r="H201" s="92">
        <v>12.904194838031607</v>
      </c>
      <c r="I201" s="92">
        <v>11.69524282480204</v>
      </c>
      <c r="J201" s="92">
        <v>12.252159149792613</v>
      </c>
      <c r="K201" s="92">
        <v>12.252159149792613</v>
      </c>
      <c r="L201" s="93">
        <f t="shared" si="22"/>
        <v>12.017814315180651</v>
      </c>
      <c r="M201" s="91">
        <v>12.020129055131182</v>
      </c>
      <c r="N201" s="92">
        <v>13.164903250857961</v>
      </c>
      <c r="O201" s="92">
        <v>12.592516152994571</v>
      </c>
      <c r="P201" s="92">
        <v>12.304386512339622</v>
      </c>
      <c r="Q201" s="92">
        <v>12.890309679593891</v>
      </c>
      <c r="R201" s="92">
        <v>12.890309679593891</v>
      </c>
      <c r="S201" s="94">
        <f t="shared" si="21"/>
        <v>12.643759055085185</v>
      </c>
      <c r="U201" t="s">
        <v>155</v>
      </c>
      <c r="V201" t="s">
        <v>208</v>
      </c>
      <c r="W201">
        <v>11.782090939072337</v>
      </c>
      <c r="X201">
        <v>11.221038989592703</v>
      </c>
      <c r="Y201">
        <v>12.904194838031607</v>
      </c>
      <c r="Z201">
        <v>11.69524282480204</v>
      </c>
      <c r="AA201">
        <v>12.252159149792613</v>
      </c>
      <c r="AB201">
        <v>12.252159149792613</v>
      </c>
      <c r="AC201">
        <v>12.017814315180651</v>
      </c>
      <c r="AD201">
        <v>12.020129055131182</v>
      </c>
      <c r="AE201">
        <v>13.164903250857961</v>
      </c>
      <c r="AF201">
        <v>12.592516152994571</v>
      </c>
      <c r="AG201">
        <v>12.304386512339622</v>
      </c>
      <c r="AH201">
        <v>12.890309679593891</v>
      </c>
      <c r="AI201">
        <v>12.890309679593891</v>
      </c>
      <c r="AJ201">
        <v>12.643759055085185</v>
      </c>
    </row>
    <row r="202" spans="1:36">
      <c r="A202" s="71" t="s">
        <v>155</v>
      </c>
      <c r="B202" s="17" t="s">
        <v>208</v>
      </c>
      <c r="C202" s="89"/>
      <c r="D202" s="89"/>
      <c r="E202" s="46"/>
      <c r="F202" s="91"/>
      <c r="G202" s="92"/>
      <c r="H202" s="92"/>
      <c r="I202" s="92"/>
      <c r="J202" s="92"/>
      <c r="K202" s="92"/>
      <c r="L202" s="93">
        <f t="shared" si="22"/>
        <v>0</v>
      </c>
      <c r="M202" s="91"/>
      <c r="N202" s="92"/>
      <c r="O202" s="92"/>
      <c r="P202" s="92"/>
      <c r="Q202" s="92"/>
      <c r="R202" s="92"/>
      <c r="S202" s="94">
        <f t="shared" si="21"/>
        <v>0</v>
      </c>
      <c r="U202" t="s">
        <v>155</v>
      </c>
      <c r="V202" t="s">
        <v>208</v>
      </c>
      <c r="AC202">
        <v>0</v>
      </c>
      <c r="AJ202">
        <v>0</v>
      </c>
    </row>
    <row r="203" spans="1:36">
      <c r="A203" s="71" t="s">
        <v>155</v>
      </c>
      <c r="B203" s="17" t="s">
        <v>208</v>
      </c>
      <c r="C203" s="89"/>
      <c r="D203" s="89"/>
      <c r="E203" s="46"/>
      <c r="F203" s="91"/>
      <c r="G203" s="92"/>
      <c r="H203" s="92"/>
      <c r="I203" s="92"/>
      <c r="J203" s="92"/>
      <c r="K203" s="92"/>
      <c r="L203" s="93">
        <f t="shared" si="22"/>
        <v>0</v>
      </c>
      <c r="M203" s="91"/>
      <c r="N203" s="92"/>
      <c r="O203" s="92"/>
      <c r="P203" s="92"/>
      <c r="Q203" s="92"/>
      <c r="R203" s="92"/>
      <c r="S203" s="94">
        <f t="shared" si="21"/>
        <v>0</v>
      </c>
      <c r="U203" t="s">
        <v>155</v>
      </c>
      <c r="V203" t="s">
        <v>208</v>
      </c>
      <c r="AC203">
        <v>0</v>
      </c>
      <c r="AJ203">
        <v>0</v>
      </c>
    </row>
    <row r="204" spans="1:36">
      <c r="A204" s="71" t="s">
        <v>155</v>
      </c>
      <c r="B204" s="17" t="s">
        <v>208</v>
      </c>
      <c r="C204" s="89"/>
      <c r="D204" s="89"/>
      <c r="E204" s="46"/>
      <c r="F204" s="91"/>
      <c r="G204" s="92"/>
      <c r="H204" s="92"/>
      <c r="I204" s="92"/>
      <c r="J204" s="92"/>
      <c r="K204" s="92"/>
      <c r="L204" s="93">
        <f t="shared" si="22"/>
        <v>0</v>
      </c>
      <c r="M204" s="91"/>
      <c r="N204" s="92"/>
      <c r="O204" s="92"/>
      <c r="P204" s="92"/>
      <c r="Q204" s="92"/>
      <c r="R204" s="92"/>
      <c r="S204" s="94">
        <f t="shared" si="21"/>
        <v>0</v>
      </c>
      <c r="U204" t="s">
        <v>155</v>
      </c>
      <c r="V204" t="s">
        <v>208</v>
      </c>
      <c r="AC204">
        <v>0</v>
      </c>
      <c r="AJ204">
        <v>0</v>
      </c>
    </row>
    <row r="205" spans="1:36">
      <c r="A205" s="71" t="s">
        <v>155</v>
      </c>
      <c r="B205" s="17" t="s">
        <v>208</v>
      </c>
      <c r="C205" s="89"/>
      <c r="D205" s="89"/>
      <c r="E205" s="46"/>
      <c r="F205" s="91"/>
      <c r="G205" s="92"/>
      <c r="H205" s="92"/>
      <c r="I205" s="92"/>
      <c r="J205" s="92"/>
      <c r="K205" s="92"/>
      <c r="L205" s="93">
        <f t="shared" si="22"/>
        <v>0</v>
      </c>
      <c r="M205" s="91"/>
      <c r="N205" s="92"/>
      <c r="O205" s="92"/>
      <c r="P205" s="92"/>
      <c r="Q205" s="92"/>
      <c r="R205" s="92"/>
      <c r="S205" s="94">
        <f t="shared" si="21"/>
        <v>0</v>
      </c>
      <c r="U205" t="s">
        <v>155</v>
      </c>
      <c r="V205" t="s">
        <v>208</v>
      </c>
      <c r="AC205">
        <v>0</v>
      </c>
      <c r="AJ205">
        <v>0</v>
      </c>
    </row>
    <row r="206" spans="1:36">
      <c r="A206" s="71" t="s">
        <v>155</v>
      </c>
      <c r="B206" s="17" t="s">
        <v>208</v>
      </c>
      <c r="C206" s="89"/>
      <c r="D206" s="89"/>
      <c r="E206" s="46"/>
      <c r="F206" s="91"/>
      <c r="G206" s="92"/>
      <c r="H206" s="92"/>
      <c r="I206" s="92"/>
      <c r="J206" s="92"/>
      <c r="K206" s="92"/>
      <c r="L206" s="93">
        <f t="shared" si="22"/>
        <v>0</v>
      </c>
      <c r="M206" s="91"/>
      <c r="N206" s="92"/>
      <c r="O206" s="92"/>
      <c r="P206" s="92"/>
      <c r="Q206" s="92"/>
      <c r="R206" s="92"/>
      <c r="S206" s="94">
        <f t="shared" ref="S206:S218" si="23">SUM(M206:R206)/6</f>
        <v>0</v>
      </c>
      <c r="U206" t="s">
        <v>155</v>
      </c>
      <c r="V206" t="s">
        <v>208</v>
      </c>
      <c r="AC206">
        <v>0</v>
      </c>
      <c r="AJ206">
        <v>0</v>
      </c>
    </row>
    <row r="207" spans="1:36">
      <c r="A207" s="71" t="s">
        <v>155</v>
      </c>
      <c r="B207" s="17" t="s">
        <v>208</v>
      </c>
      <c r="C207" s="89"/>
      <c r="D207" s="89"/>
      <c r="E207" s="46"/>
      <c r="F207" s="91"/>
      <c r="G207" s="92"/>
      <c r="H207" s="92"/>
      <c r="I207" s="92"/>
      <c r="J207" s="92"/>
      <c r="K207" s="92"/>
      <c r="L207" s="93">
        <f t="shared" si="22"/>
        <v>0</v>
      </c>
      <c r="M207" s="91"/>
      <c r="N207" s="92"/>
      <c r="O207" s="92"/>
      <c r="P207" s="92"/>
      <c r="Q207" s="92"/>
      <c r="R207" s="92"/>
      <c r="S207" s="94">
        <f t="shared" si="23"/>
        <v>0</v>
      </c>
      <c r="U207" t="s">
        <v>155</v>
      </c>
      <c r="V207" t="s">
        <v>208</v>
      </c>
      <c r="AC207">
        <v>0</v>
      </c>
      <c r="AJ207">
        <v>0</v>
      </c>
    </row>
    <row r="208" spans="1:36">
      <c r="A208" s="71" t="s">
        <v>155</v>
      </c>
      <c r="B208" s="17" t="s">
        <v>208</v>
      </c>
      <c r="C208" s="89"/>
      <c r="D208" s="89"/>
      <c r="E208" s="46"/>
      <c r="F208" s="91"/>
      <c r="G208" s="92"/>
      <c r="H208" s="92"/>
      <c r="I208" s="92"/>
      <c r="J208" s="92"/>
      <c r="K208" s="92"/>
      <c r="L208" s="93">
        <f t="shared" si="22"/>
        <v>0</v>
      </c>
      <c r="M208" s="91"/>
      <c r="N208" s="92"/>
      <c r="O208" s="92"/>
      <c r="P208" s="92"/>
      <c r="Q208" s="92"/>
      <c r="R208" s="92"/>
      <c r="S208" s="94">
        <f t="shared" si="23"/>
        <v>0</v>
      </c>
      <c r="U208" t="s">
        <v>155</v>
      </c>
      <c r="V208" t="s">
        <v>208</v>
      </c>
      <c r="AC208">
        <v>0</v>
      </c>
      <c r="AJ208">
        <v>0</v>
      </c>
    </row>
    <row r="209" spans="1:36">
      <c r="A209" s="71" t="s">
        <v>155</v>
      </c>
      <c r="B209" s="17" t="s">
        <v>208</v>
      </c>
      <c r="C209" s="89"/>
      <c r="D209" s="89"/>
      <c r="E209" s="46"/>
      <c r="F209" s="91"/>
      <c r="G209" s="92"/>
      <c r="H209" s="92"/>
      <c r="I209" s="92"/>
      <c r="J209" s="92"/>
      <c r="K209" s="92"/>
      <c r="L209" s="93">
        <f t="shared" si="22"/>
        <v>0</v>
      </c>
      <c r="M209" s="91"/>
      <c r="N209" s="92"/>
      <c r="O209" s="92"/>
      <c r="P209" s="92"/>
      <c r="Q209" s="92"/>
      <c r="R209" s="92"/>
      <c r="S209" s="94">
        <f t="shared" si="23"/>
        <v>0</v>
      </c>
      <c r="U209" t="s">
        <v>155</v>
      </c>
      <c r="V209" t="s">
        <v>208</v>
      </c>
      <c r="AC209">
        <v>0</v>
      </c>
      <c r="AJ209">
        <v>0</v>
      </c>
    </row>
    <row r="210" spans="1:36">
      <c r="A210" s="71" t="s">
        <v>155</v>
      </c>
      <c r="B210" s="17" t="s">
        <v>208</v>
      </c>
      <c r="C210" s="89"/>
      <c r="D210" s="89"/>
      <c r="E210" s="46"/>
      <c r="F210" s="91"/>
      <c r="G210" s="92"/>
      <c r="H210" s="92"/>
      <c r="I210" s="92"/>
      <c r="J210" s="92"/>
      <c r="K210" s="92"/>
      <c r="L210" s="93">
        <f t="shared" si="22"/>
        <v>0</v>
      </c>
      <c r="M210" s="91"/>
      <c r="N210" s="92"/>
      <c r="O210" s="92"/>
      <c r="P210" s="92"/>
      <c r="Q210" s="92"/>
      <c r="R210" s="92"/>
      <c r="S210" s="94">
        <f t="shared" si="23"/>
        <v>0</v>
      </c>
      <c r="U210" t="s">
        <v>155</v>
      </c>
      <c r="V210" t="s">
        <v>208</v>
      </c>
      <c r="AC210">
        <v>0</v>
      </c>
      <c r="AJ210">
        <v>0</v>
      </c>
    </row>
    <row r="211" spans="1:36">
      <c r="A211" s="71" t="s">
        <v>155</v>
      </c>
      <c r="B211" s="17" t="s">
        <v>208</v>
      </c>
      <c r="C211" s="89"/>
      <c r="D211" s="89"/>
      <c r="E211" s="46"/>
      <c r="F211" s="91"/>
      <c r="G211" s="92"/>
      <c r="H211" s="92"/>
      <c r="I211" s="92"/>
      <c r="J211" s="92"/>
      <c r="K211" s="92"/>
      <c r="L211" s="93">
        <f t="shared" si="22"/>
        <v>0</v>
      </c>
      <c r="M211" s="91"/>
      <c r="N211" s="92"/>
      <c r="O211" s="92"/>
      <c r="P211" s="92"/>
      <c r="Q211" s="92"/>
      <c r="R211" s="92"/>
      <c r="S211" s="94">
        <f t="shared" si="23"/>
        <v>0</v>
      </c>
      <c r="U211" t="s">
        <v>155</v>
      </c>
      <c r="V211" t="s">
        <v>208</v>
      </c>
      <c r="AC211">
        <v>0</v>
      </c>
      <c r="AJ211">
        <v>0</v>
      </c>
    </row>
    <row r="212" spans="1:36">
      <c r="A212" s="71" t="s">
        <v>155</v>
      </c>
      <c r="B212" s="17" t="s">
        <v>208</v>
      </c>
      <c r="C212" s="89"/>
      <c r="D212" s="89"/>
      <c r="E212" s="46"/>
      <c r="F212" s="91"/>
      <c r="G212" s="92"/>
      <c r="H212" s="92"/>
      <c r="I212" s="92"/>
      <c r="J212" s="92"/>
      <c r="K212" s="92"/>
      <c r="L212" s="93">
        <f t="shared" si="22"/>
        <v>0</v>
      </c>
      <c r="M212" s="91"/>
      <c r="N212" s="92"/>
      <c r="O212" s="92"/>
      <c r="P212" s="92"/>
      <c r="Q212" s="92"/>
      <c r="R212" s="92"/>
      <c r="S212" s="94">
        <f t="shared" si="23"/>
        <v>0</v>
      </c>
      <c r="U212" t="s">
        <v>155</v>
      </c>
      <c r="V212" t="s">
        <v>208</v>
      </c>
      <c r="AC212">
        <v>0</v>
      </c>
      <c r="AJ212">
        <v>0</v>
      </c>
    </row>
    <row r="213" spans="1:36">
      <c r="A213" s="71" t="s">
        <v>155</v>
      </c>
      <c r="B213" s="17" t="s">
        <v>208</v>
      </c>
      <c r="C213" s="89"/>
      <c r="D213" s="89"/>
      <c r="E213" s="46"/>
      <c r="F213" s="91"/>
      <c r="G213" s="92"/>
      <c r="H213" s="92"/>
      <c r="I213" s="92"/>
      <c r="J213" s="92"/>
      <c r="K213" s="92"/>
      <c r="L213" s="93">
        <f t="shared" si="22"/>
        <v>0</v>
      </c>
      <c r="M213" s="91"/>
      <c r="N213" s="92"/>
      <c r="O213" s="92"/>
      <c r="P213" s="92"/>
      <c r="Q213" s="92"/>
      <c r="R213" s="92"/>
      <c r="S213" s="94">
        <f t="shared" si="23"/>
        <v>0</v>
      </c>
      <c r="U213" t="s">
        <v>155</v>
      </c>
      <c r="V213" t="s">
        <v>208</v>
      </c>
      <c r="AC213">
        <v>0</v>
      </c>
      <c r="AJ213">
        <v>0</v>
      </c>
    </row>
    <row r="214" spans="1:36">
      <c r="A214" s="71" t="s">
        <v>155</v>
      </c>
      <c r="B214" s="17" t="s">
        <v>208</v>
      </c>
      <c r="C214" s="89"/>
      <c r="D214" s="89"/>
      <c r="E214" s="46"/>
      <c r="F214" s="91"/>
      <c r="G214" s="92"/>
      <c r="H214" s="92"/>
      <c r="I214" s="92"/>
      <c r="J214" s="92"/>
      <c r="K214" s="92"/>
      <c r="L214" s="93">
        <f t="shared" si="22"/>
        <v>0</v>
      </c>
      <c r="M214" s="91"/>
      <c r="N214" s="92"/>
      <c r="O214" s="92"/>
      <c r="P214" s="92"/>
      <c r="Q214" s="92"/>
      <c r="R214" s="92"/>
      <c r="S214" s="94">
        <f t="shared" si="23"/>
        <v>0</v>
      </c>
      <c r="U214" t="s">
        <v>155</v>
      </c>
      <c r="V214" t="s">
        <v>208</v>
      </c>
      <c r="AC214">
        <v>0</v>
      </c>
      <c r="AJ214">
        <v>0</v>
      </c>
    </row>
    <row r="215" spans="1:36">
      <c r="A215" s="71" t="s">
        <v>155</v>
      </c>
      <c r="B215" s="17" t="s">
        <v>208</v>
      </c>
      <c r="C215" s="89"/>
      <c r="D215" s="89"/>
      <c r="E215" s="46"/>
      <c r="F215" s="91"/>
      <c r="G215" s="92"/>
      <c r="H215" s="92"/>
      <c r="I215" s="92"/>
      <c r="J215" s="92"/>
      <c r="K215" s="92"/>
      <c r="L215" s="93">
        <f t="shared" si="22"/>
        <v>0</v>
      </c>
      <c r="M215" s="91"/>
      <c r="N215" s="92"/>
      <c r="O215" s="92"/>
      <c r="P215" s="92"/>
      <c r="Q215" s="92"/>
      <c r="R215" s="92"/>
      <c r="S215" s="94">
        <f t="shared" si="23"/>
        <v>0</v>
      </c>
      <c r="U215" t="s">
        <v>155</v>
      </c>
      <c r="V215" t="s">
        <v>208</v>
      </c>
      <c r="AC215">
        <v>0</v>
      </c>
      <c r="AJ215">
        <v>0</v>
      </c>
    </row>
    <row r="216" spans="1:36">
      <c r="A216" s="71" t="s">
        <v>155</v>
      </c>
      <c r="B216" s="17" t="s">
        <v>208</v>
      </c>
      <c r="C216" s="89"/>
      <c r="D216" s="89"/>
      <c r="E216" s="46"/>
      <c r="F216" s="91"/>
      <c r="G216" s="92"/>
      <c r="H216" s="92"/>
      <c r="I216" s="92"/>
      <c r="J216" s="92"/>
      <c r="K216" s="92"/>
      <c r="L216" s="93">
        <f t="shared" si="22"/>
        <v>0</v>
      </c>
      <c r="M216" s="91"/>
      <c r="N216" s="92"/>
      <c r="O216" s="92"/>
      <c r="P216" s="92"/>
      <c r="Q216" s="92"/>
      <c r="R216" s="92"/>
      <c r="S216" s="94">
        <f t="shared" si="23"/>
        <v>0</v>
      </c>
      <c r="U216" t="s">
        <v>155</v>
      </c>
      <c r="V216" t="s">
        <v>208</v>
      </c>
      <c r="AC216">
        <v>0</v>
      </c>
      <c r="AJ216">
        <v>0</v>
      </c>
    </row>
    <row r="217" spans="1:36">
      <c r="A217" s="71" t="s">
        <v>155</v>
      </c>
      <c r="B217" s="17" t="s">
        <v>208</v>
      </c>
      <c r="C217" s="89"/>
      <c r="D217" s="89"/>
      <c r="E217" s="46"/>
      <c r="F217" s="91"/>
      <c r="G217" s="92"/>
      <c r="H217" s="92"/>
      <c r="I217" s="92"/>
      <c r="J217" s="92"/>
      <c r="K217" s="92"/>
      <c r="L217" s="93">
        <f t="shared" si="22"/>
        <v>0</v>
      </c>
      <c r="M217" s="91"/>
      <c r="N217" s="92"/>
      <c r="O217" s="92"/>
      <c r="P217" s="92"/>
      <c r="Q217" s="92"/>
      <c r="R217" s="92"/>
      <c r="S217" s="94">
        <f t="shared" si="23"/>
        <v>0</v>
      </c>
      <c r="U217" t="s">
        <v>155</v>
      </c>
      <c r="V217" t="s">
        <v>208</v>
      </c>
      <c r="AC217">
        <v>0</v>
      </c>
      <c r="AJ217">
        <v>0</v>
      </c>
    </row>
    <row r="218" spans="1:36">
      <c r="A218" s="71" t="s">
        <v>155</v>
      </c>
      <c r="B218" s="17" t="s">
        <v>208</v>
      </c>
      <c r="C218" s="89"/>
      <c r="D218" s="89"/>
      <c r="E218" s="46"/>
      <c r="F218" s="91"/>
      <c r="G218" s="92"/>
      <c r="H218" s="92"/>
      <c r="I218" s="92"/>
      <c r="J218" s="92"/>
      <c r="K218" s="92"/>
      <c r="L218" s="93">
        <f t="shared" si="22"/>
        <v>0</v>
      </c>
      <c r="M218" s="91"/>
      <c r="N218" s="92"/>
      <c r="O218" s="92"/>
      <c r="P218" s="92"/>
      <c r="Q218" s="92"/>
      <c r="R218" s="92"/>
      <c r="S218" s="94">
        <f t="shared" si="23"/>
        <v>0</v>
      </c>
      <c r="U218" t="s">
        <v>155</v>
      </c>
      <c r="V218" t="s">
        <v>208</v>
      </c>
      <c r="AC218">
        <v>0</v>
      </c>
      <c r="AJ218">
        <v>0</v>
      </c>
    </row>
    <row r="219" spans="1:36">
      <c r="A219" s="81"/>
      <c r="B219" s="82" t="s">
        <v>208</v>
      </c>
      <c r="C219" s="83" t="s">
        <v>88</v>
      </c>
      <c r="D219" s="83" t="s">
        <v>88</v>
      </c>
      <c r="E219" s="84"/>
      <c r="F219" s="85">
        <f>SUM(F141:F218)</f>
        <v>31192.239953439708</v>
      </c>
      <c r="G219" s="86">
        <f t="shared" ref="G219:S219" si="24">SUM(G141:G218)</f>
        <v>29706.895193752105</v>
      </c>
      <c r="H219" s="86">
        <f t="shared" si="24"/>
        <v>34162.929472814911</v>
      </c>
      <c r="I219" s="86">
        <f t="shared" si="24"/>
        <v>31865.972009379439</v>
      </c>
      <c r="J219" s="86">
        <f t="shared" si="24"/>
        <v>33383.399247921319</v>
      </c>
      <c r="K219" s="86">
        <f t="shared" si="24"/>
        <v>33383.399247921319</v>
      </c>
      <c r="L219" s="87">
        <f t="shared" si="24"/>
        <v>32282.472520871474</v>
      </c>
      <c r="M219" s="85">
        <f t="shared" si="24"/>
        <v>33079.345122898638</v>
      </c>
      <c r="N219" s="86">
        <f t="shared" si="24"/>
        <v>36229.758944127076</v>
      </c>
      <c r="O219" s="86">
        <f t="shared" si="24"/>
        <v>34654.55203351286</v>
      </c>
      <c r="P219" s="86">
        <f t="shared" si="24"/>
        <v>33802.581043100494</v>
      </c>
      <c r="Q219" s="86">
        <f t="shared" si="24"/>
        <v>35412.227759438611</v>
      </c>
      <c r="R219" s="86">
        <f t="shared" si="24"/>
        <v>35412.227759438611</v>
      </c>
      <c r="S219" s="88">
        <f t="shared" si="24"/>
        <v>34765.1154437527</v>
      </c>
      <c r="V219" t="s">
        <v>208</v>
      </c>
      <c r="W219">
        <v>31192.239953439708</v>
      </c>
      <c r="X219">
        <v>29706.895193752105</v>
      </c>
      <c r="Y219">
        <v>34162.929472814911</v>
      </c>
      <c r="Z219">
        <v>31865.972009379439</v>
      </c>
      <c r="AA219">
        <v>33383.399247921319</v>
      </c>
      <c r="AB219">
        <v>33383.399247921319</v>
      </c>
      <c r="AC219">
        <v>32282.472520871474</v>
      </c>
      <c r="AD219">
        <v>33079.345122898638</v>
      </c>
      <c r="AE219">
        <v>36229.758944127076</v>
      </c>
      <c r="AF219">
        <v>34654.55203351286</v>
      </c>
      <c r="AG219">
        <v>33802.581043100494</v>
      </c>
      <c r="AH219">
        <v>35412.227759438611</v>
      </c>
      <c r="AI219">
        <v>35412.227759438611</v>
      </c>
      <c r="AJ219">
        <v>34765.1154437527</v>
      </c>
    </row>
    <row r="220" spans="1:36">
      <c r="A220" s="71" t="s">
        <v>155</v>
      </c>
      <c r="B220" s="17" t="s">
        <v>118</v>
      </c>
      <c r="C220" s="89" t="s">
        <v>274</v>
      </c>
      <c r="D220" s="89" t="s">
        <v>274</v>
      </c>
      <c r="E220" s="90" t="str">
        <f>VLOOKUP(D220,'[46]Yield Cal Oracle (base) '!$D:$E,2,0)</f>
        <v>TEPSLB30E227M358R</v>
      </c>
      <c r="F220" s="91">
        <v>2461.0502943426341</v>
      </c>
      <c r="G220" s="92">
        <v>2343.8574231834618</v>
      </c>
      <c r="H220" s="92">
        <v>2695.4360366609803</v>
      </c>
      <c r="I220" s="92">
        <v>2492.9535241636686</v>
      </c>
      <c r="J220" s="92">
        <v>2611.6655967428906</v>
      </c>
      <c r="K220" s="92">
        <v>2611.6655967428906</v>
      </c>
      <c r="L220" s="93">
        <f t="shared" si="22"/>
        <v>2536.1047453060874</v>
      </c>
      <c r="M220" s="91">
        <v>2556.5876388947349</v>
      </c>
      <c r="N220" s="92">
        <v>2800.0721759323287</v>
      </c>
      <c r="O220" s="92">
        <v>2678.3299074135316</v>
      </c>
      <c r="P220" s="92">
        <v>2593.0792033465714</v>
      </c>
      <c r="Q220" s="92">
        <v>2716.5591654106938</v>
      </c>
      <c r="R220" s="92">
        <v>2716.5591654106938</v>
      </c>
      <c r="S220" s="94">
        <f t="shared" ref="S220:S251" si="25">SUM(M220:R220)/6</f>
        <v>2676.8645427347592</v>
      </c>
      <c r="U220" t="s">
        <v>155</v>
      </c>
      <c r="V220" t="s">
        <v>118</v>
      </c>
      <c r="W220">
        <v>2461.0502943426341</v>
      </c>
      <c r="X220">
        <v>2343.8574231834618</v>
      </c>
      <c r="Y220">
        <v>2695.4360366609803</v>
      </c>
      <c r="Z220">
        <v>2492.9535241636686</v>
      </c>
      <c r="AA220">
        <v>2611.6655967428906</v>
      </c>
      <c r="AB220">
        <v>2611.6655967428906</v>
      </c>
      <c r="AC220">
        <v>2536.1047453060874</v>
      </c>
      <c r="AD220">
        <v>2556.5876388947349</v>
      </c>
      <c r="AE220">
        <v>2800.0721759323287</v>
      </c>
      <c r="AF220">
        <v>2678.3299074135316</v>
      </c>
      <c r="AG220">
        <v>2593.0792033465714</v>
      </c>
      <c r="AH220">
        <v>2716.5591654106938</v>
      </c>
      <c r="AI220">
        <v>2716.5591654106938</v>
      </c>
      <c r="AJ220">
        <v>2676.8645427347592</v>
      </c>
    </row>
    <row r="221" spans="1:36">
      <c r="A221" s="71" t="s">
        <v>155</v>
      </c>
      <c r="B221" s="17" t="s">
        <v>118</v>
      </c>
      <c r="C221" s="72" t="s">
        <v>275</v>
      </c>
      <c r="D221" s="72" t="s">
        <v>275</v>
      </c>
      <c r="E221" s="66" t="e">
        <f>VLOOKUP(D221,'[46]Yield Cal Oracle (base) '!$D:$E,2,0)</f>
        <v>#N/A</v>
      </c>
      <c r="F221" s="91">
        <v>482.19403528139918</v>
      </c>
      <c r="G221" s="92">
        <v>459.23241455371351</v>
      </c>
      <c r="H221" s="92">
        <v>528.11727673677058</v>
      </c>
      <c r="I221" s="92">
        <v>517.93708964491543</v>
      </c>
      <c r="J221" s="92">
        <v>542.60076058038771</v>
      </c>
      <c r="K221" s="92">
        <v>542.60076058038771</v>
      </c>
      <c r="L221" s="93">
        <f t="shared" si="22"/>
        <v>512.1137228962624</v>
      </c>
      <c r="M221" s="91">
        <v>588.13857692109036</v>
      </c>
      <c r="N221" s="92">
        <v>644.15177472309892</v>
      </c>
      <c r="O221" s="92">
        <v>616.14517582209464</v>
      </c>
      <c r="P221" s="92">
        <v>597.18686271987633</v>
      </c>
      <c r="Q221" s="92">
        <v>625.62433237320397</v>
      </c>
      <c r="R221" s="92">
        <v>625.62433237320397</v>
      </c>
      <c r="S221" s="94">
        <f t="shared" si="25"/>
        <v>616.14517582209476</v>
      </c>
      <c r="U221" t="s">
        <v>155</v>
      </c>
      <c r="V221" t="s">
        <v>118</v>
      </c>
      <c r="W221">
        <v>482.19403528139918</v>
      </c>
      <c r="X221">
        <v>459.23241455371351</v>
      </c>
      <c r="Y221">
        <v>528.11727673677058</v>
      </c>
      <c r="Z221">
        <v>517.93708964491543</v>
      </c>
      <c r="AA221">
        <v>542.60076058038771</v>
      </c>
      <c r="AB221">
        <v>542.60076058038771</v>
      </c>
      <c r="AC221">
        <v>512.1137228962624</v>
      </c>
      <c r="AD221">
        <v>588.13857692109036</v>
      </c>
      <c r="AE221">
        <v>644.15177472309892</v>
      </c>
      <c r="AF221">
        <v>616.14517582209464</v>
      </c>
      <c r="AG221">
        <v>597.18686271987633</v>
      </c>
      <c r="AH221">
        <v>625.62433237320397</v>
      </c>
      <c r="AI221">
        <v>625.62433237320397</v>
      </c>
      <c r="AJ221">
        <v>616.14517582209476</v>
      </c>
    </row>
    <row r="222" spans="1:36">
      <c r="A222" s="71" t="s">
        <v>155</v>
      </c>
      <c r="B222" s="17" t="s">
        <v>118</v>
      </c>
      <c r="C222" s="89" t="s">
        <v>276</v>
      </c>
      <c r="D222" s="89" t="s">
        <v>276</v>
      </c>
      <c r="E222" s="90" t="str">
        <f>VLOOKUP(D222,'[46]Yield Cal Oracle (base) '!$D:$E,2,0)</f>
        <v>TEPSLB30G227M358R</v>
      </c>
      <c r="F222" s="91">
        <v>5.6152794300249091E-4</v>
      </c>
      <c r="G222" s="92">
        <v>5.3478851714522943E-4</v>
      </c>
      <c r="H222" s="92">
        <v>6.1500679471701396E-4</v>
      </c>
      <c r="I222" s="92">
        <v>5.5738880987136563E-4</v>
      </c>
      <c r="J222" s="92">
        <v>5.8393113415095455E-4</v>
      </c>
      <c r="K222" s="92">
        <v>5.8393113415095455E-4</v>
      </c>
      <c r="L222" s="93">
        <f t="shared" si="22"/>
        <v>5.7276238883966814E-4</v>
      </c>
      <c r="M222" s="91">
        <v>5.5341117199905147E-4</v>
      </c>
      <c r="N222" s="92">
        <v>6.0611699790372295E-4</v>
      </c>
      <c r="O222" s="92">
        <v>5.7976408495138715E-4</v>
      </c>
      <c r="P222" s="92">
        <v>5.6649849009868865E-4</v>
      </c>
      <c r="Q222" s="92">
        <v>5.9347460867481669E-4</v>
      </c>
      <c r="R222" s="92">
        <v>5.9347460867481669E-4</v>
      </c>
      <c r="S222" s="94">
        <f t="shared" si="25"/>
        <v>5.8212332705041391E-4</v>
      </c>
      <c r="U222" t="s">
        <v>155</v>
      </c>
      <c r="V222" t="s">
        <v>118</v>
      </c>
      <c r="W222">
        <v>5.6152794300249091E-4</v>
      </c>
      <c r="X222">
        <v>5.3478851714522943E-4</v>
      </c>
      <c r="Y222">
        <v>6.1500679471701396E-4</v>
      </c>
      <c r="Z222">
        <v>5.5738880987136563E-4</v>
      </c>
      <c r="AA222">
        <v>5.8393113415095455E-4</v>
      </c>
      <c r="AB222">
        <v>5.8393113415095455E-4</v>
      </c>
      <c r="AC222">
        <v>5.7276238883966814E-4</v>
      </c>
      <c r="AD222">
        <v>5.5341117199905147E-4</v>
      </c>
      <c r="AE222">
        <v>6.0611699790372295E-4</v>
      </c>
      <c r="AF222">
        <v>5.7976408495138715E-4</v>
      </c>
      <c r="AG222">
        <v>5.6649849009868865E-4</v>
      </c>
      <c r="AH222">
        <v>5.9347460867481669E-4</v>
      </c>
      <c r="AI222">
        <v>5.9347460867481669E-4</v>
      </c>
      <c r="AJ222">
        <v>5.8212332705041391E-4</v>
      </c>
    </row>
    <row r="223" spans="1:36">
      <c r="A223" s="71" t="s">
        <v>155</v>
      </c>
      <c r="B223" s="17" t="s">
        <v>118</v>
      </c>
      <c r="C223" s="89" t="s">
        <v>277</v>
      </c>
      <c r="D223" s="89" t="s">
        <v>277</v>
      </c>
      <c r="E223" s="90" t="str">
        <f>VLOOKUP(D223,'[46]Yield Cal Oracle (base) '!$D:$E,2,0)</f>
        <v>TEPSLB30J107M35HF8R</v>
      </c>
      <c r="F223" s="91">
        <v>0.74684680288897376</v>
      </c>
      <c r="G223" s="92">
        <v>0.71128266941807028</v>
      </c>
      <c r="H223" s="92">
        <v>0.81797506983078072</v>
      </c>
      <c r="I223" s="92">
        <v>0.70503285817528505</v>
      </c>
      <c r="J223" s="92">
        <v>0.73860585142172719</v>
      </c>
      <c r="K223" s="92">
        <v>0.73860585142172719</v>
      </c>
      <c r="L223" s="93">
        <f t="shared" si="22"/>
        <v>0.74305818385942735</v>
      </c>
      <c r="M223" s="91">
        <v>0.73601157467086564</v>
      </c>
      <c r="N223" s="92">
        <v>0.80610791511571001</v>
      </c>
      <c r="O223" s="92">
        <v>0.77105974489328788</v>
      </c>
      <c r="P223" s="92">
        <v>0.7891399927024777</v>
      </c>
      <c r="Q223" s="92">
        <v>0.82671808759307175</v>
      </c>
      <c r="R223" s="92">
        <v>0.82671808759307175</v>
      </c>
      <c r="S223" s="94">
        <f t="shared" si="25"/>
        <v>0.79262590042808079</v>
      </c>
      <c r="U223" t="s">
        <v>155</v>
      </c>
      <c r="V223" t="s">
        <v>118</v>
      </c>
      <c r="W223">
        <v>0.74684680288897376</v>
      </c>
      <c r="X223">
        <v>0.71128266941807028</v>
      </c>
      <c r="Y223">
        <v>0.81797506983078072</v>
      </c>
      <c r="Z223">
        <v>0.70503285817528505</v>
      </c>
      <c r="AA223">
        <v>0.73860585142172719</v>
      </c>
      <c r="AB223">
        <v>0.73860585142172719</v>
      </c>
      <c r="AC223">
        <v>0.74305818385942735</v>
      </c>
      <c r="AD223">
        <v>0.73601157467086564</v>
      </c>
      <c r="AE223">
        <v>0.80610791511571001</v>
      </c>
      <c r="AF223">
        <v>0.77105974489328788</v>
      </c>
      <c r="AG223">
        <v>0.7891399927024777</v>
      </c>
      <c r="AH223">
        <v>0.82671808759307175</v>
      </c>
      <c r="AI223">
        <v>0.82671808759307175</v>
      </c>
      <c r="AJ223">
        <v>0.79262590042808079</v>
      </c>
    </row>
    <row r="224" spans="1:36">
      <c r="A224" s="71" t="s">
        <v>155</v>
      </c>
      <c r="B224" s="17" t="s">
        <v>118</v>
      </c>
      <c r="C224" s="89" t="s">
        <v>278</v>
      </c>
      <c r="D224" s="89" t="s">
        <v>278</v>
      </c>
      <c r="E224" s="90" t="str">
        <f>VLOOKUP(D224,'[46]Yield Cal Oracle (base) '!$D:$E,2,0)</f>
        <v>TEPSLB30J107M458R</v>
      </c>
      <c r="F224" s="91">
        <v>21.842002361946644</v>
      </c>
      <c r="G224" s="92">
        <v>20.801907011377757</v>
      </c>
      <c r="H224" s="92">
        <v>23.922193063084421</v>
      </c>
      <c r="I224" s="92">
        <v>21.535476188645077</v>
      </c>
      <c r="J224" s="92">
        <v>22.560975054771031</v>
      </c>
      <c r="K224" s="92">
        <v>22.560975054771031</v>
      </c>
      <c r="L224" s="93">
        <f t="shared" si="22"/>
        <v>22.203921455765993</v>
      </c>
      <c r="M224" s="91">
        <v>21.904061005976107</v>
      </c>
      <c r="N224" s="92">
        <v>23.990162054164305</v>
      </c>
      <c r="O224" s="92">
        <v>22.947111530070206</v>
      </c>
      <c r="P224" s="92">
        <v>22.272087933296021</v>
      </c>
      <c r="Q224" s="92">
        <v>23.332663549167265</v>
      </c>
      <c r="R224" s="92">
        <v>23.332663549167265</v>
      </c>
      <c r="S224" s="94">
        <f t="shared" si="25"/>
        <v>22.963124936973529</v>
      </c>
      <c r="U224" t="s">
        <v>155</v>
      </c>
      <c r="V224" t="s">
        <v>118</v>
      </c>
      <c r="W224">
        <v>21.842002361946644</v>
      </c>
      <c r="X224">
        <v>20.801907011377757</v>
      </c>
      <c r="Y224">
        <v>23.922193063084421</v>
      </c>
      <c r="Z224">
        <v>21.535476188645077</v>
      </c>
      <c r="AA224">
        <v>22.560975054771031</v>
      </c>
      <c r="AB224">
        <v>22.560975054771031</v>
      </c>
      <c r="AC224">
        <v>22.203921455765993</v>
      </c>
      <c r="AD224">
        <v>21.904061005976107</v>
      </c>
      <c r="AE224">
        <v>23.990162054164305</v>
      </c>
      <c r="AF224">
        <v>22.947111530070206</v>
      </c>
      <c r="AG224">
        <v>22.272087933296021</v>
      </c>
      <c r="AH224">
        <v>23.332663549167265</v>
      </c>
      <c r="AI224">
        <v>23.332663549167265</v>
      </c>
      <c r="AJ224">
        <v>22.963124936973529</v>
      </c>
    </row>
    <row r="225" spans="1:36">
      <c r="A225" s="71" t="s">
        <v>155</v>
      </c>
      <c r="B225" s="17" t="s">
        <v>118</v>
      </c>
      <c r="C225" s="72" t="s">
        <v>279</v>
      </c>
      <c r="D225" s="72" t="s">
        <v>279</v>
      </c>
      <c r="E225" s="66" t="e">
        <f>VLOOKUP(D225,'[46]Yield Cal Oracle (base) '!$D:$E,2,0)</f>
        <v>#N/A</v>
      </c>
      <c r="F225" s="91">
        <v>9.5729488879962776</v>
      </c>
      <c r="G225" s="92">
        <v>9.1170941790440718</v>
      </c>
      <c r="H225" s="92">
        <v>10.484658305900684</v>
      </c>
      <c r="I225" s="92">
        <v>9.5023847951516593</v>
      </c>
      <c r="J225" s="92">
        <v>9.9548793092065022</v>
      </c>
      <c r="K225" s="92">
        <v>9.9548793092065022</v>
      </c>
      <c r="L225" s="93">
        <f t="shared" si="22"/>
        <v>9.7644741310842829</v>
      </c>
      <c r="M225" s="91">
        <v>9.7663548572940897</v>
      </c>
      <c r="N225" s="92">
        <v>10.696483891322099</v>
      </c>
      <c r="O225" s="92">
        <v>10.231419374308095</v>
      </c>
      <c r="P225" s="92">
        <v>9.9973140412759474</v>
      </c>
      <c r="Q225" s="92">
        <v>10.473376614670039</v>
      </c>
      <c r="R225" s="92">
        <v>10.473376614670039</v>
      </c>
      <c r="S225" s="94">
        <f t="shared" si="25"/>
        <v>10.273054232256717</v>
      </c>
      <c r="U225" t="s">
        <v>155</v>
      </c>
      <c r="V225" t="s">
        <v>118</v>
      </c>
      <c r="W225">
        <v>9.5729488879962776</v>
      </c>
      <c r="X225">
        <v>9.1170941790440718</v>
      </c>
      <c r="Y225">
        <v>10.484658305900684</v>
      </c>
      <c r="Z225">
        <v>9.5023847951516593</v>
      </c>
      <c r="AA225">
        <v>9.9548793092065022</v>
      </c>
      <c r="AB225">
        <v>9.9548793092065022</v>
      </c>
      <c r="AC225">
        <v>9.7644741310842829</v>
      </c>
      <c r="AD225">
        <v>9.7663548572940897</v>
      </c>
      <c r="AE225">
        <v>10.696483891322099</v>
      </c>
      <c r="AF225">
        <v>10.231419374308095</v>
      </c>
      <c r="AG225">
        <v>9.9973140412759474</v>
      </c>
      <c r="AH225">
        <v>10.473376614670039</v>
      </c>
      <c r="AI225">
        <v>10.473376614670039</v>
      </c>
      <c r="AJ225">
        <v>10.273054232256717</v>
      </c>
    </row>
    <row r="226" spans="1:36">
      <c r="A226" s="71" t="s">
        <v>155</v>
      </c>
      <c r="B226" s="17" t="s">
        <v>118</v>
      </c>
      <c r="C226" s="72" t="s">
        <v>280</v>
      </c>
      <c r="D226" s="72" t="s">
        <v>280</v>
      </c>
      <c r="E226" s="66" t="e">
        <f>VLOOKUP(D226,'[46]Yield Cal Oracle (base) '!$D:$E,2,0)</f>
        <v>#N/A</v>
      </c>
      <c r="F226" s="91">
        <v>172.50045990176156</v>
      </c>
      <c r="G226" s="92">
        <v>164.28615228739199</v>
      </c>
      <c r="H226" s="92">
        <v>188.92907513050073</v>
      </c>
      <c r="I226" s="92">
        <v>191.01773946298448</v>
      </c>
      <c r="J226" s="92">
        <v>200.11382229455518</v>
      </c>
      <c r="K226" s="92">
        <v>200.11382229455518</v>
      </c>
      <c r="L226" s="93">
        <f t="shared" si="22"/>
        <v>186.16017856195819</v>
      </c>
      <c r="M226" s="91">
        <v>211.63897270046576</v>
      </c>
      <c r="N226" s="92">
        <v>231.79506533860538</v>
      </c>
      <c r="O226" s="92">
        <v>221.71701901953557</v>
      </c>
      <c r="P226" s="92">
        <v>214.89495689585752</v>
      </c>
      <c r="Q226" s="92">
        <v>225.1280500813746</v>
      </c>
      <c r="R226" s="92">
        <v>225.1280500813746</v>
      </c>
      <c r="S226" s="94">
        <f t="shared" si="25"/>
        <v>221.71701901953557</v>
      </c>
      <c r="U226" t="s">
        <v>155</v>
      </c>
      <c r="V226" t="s">
        <v>118</v>
      </c>
      <c r="W226">
        <v>172.50045990176156</v>
      </c>
      <c r="X226">
        <v>164.28615228739199</v>
      </c>
      <c r="Y226">
        <v>188.92907513050073</v>
      </c>
      <c r="Z226">
        <v>191.01773946298448</v>
      </c>
      <c r="AA226">
        <v>200.11382229455518</v>
      </c>
      <c r="AB226">
        <v>200.11382229455518</v>
      </c>
      <c r="AC226">
        <v>186.16017856195819</v>
      </c>
      <c r="AD226">
        <v>211.63897270046576</v>
      </c>
      <c r="AE226">
        <v>231.79506533860538</v>
      </c>
      <c r="AF226">
        <v>221.71701901953557</v>
      </c>
      <c r="AG226">
        <v>214.89495689585752</v>
      </c>
      <c r="AH226">
        <v>225.1280500813746</v>
      </c>
      <c r="AI226">
        <v>225.1280500813746</v>
      </c>
      <c r="AJ226">
        <v>221.71701901953557</v>
      </c>
    </row>
    <row r="227" spans="1:36">
      <c r="A227" s="71" t="s">
        <v>155</v>
      </c>
      <c r="B227" s="17" t="s">
        <v>118</v>
      </c>
      <c r="C227" s="89" t="s">
        <v>281</v>
      </c>
      <c r="D227" s="89" t="s">
        <v>281</v>
      </c>
      <c r="E227" s="90" t="str">
        <f>VLOOKUP(D227,'[46]Yield Cal Oracle (base) '!$D:$E,2,0)</f>
        <v>TEPSLB30J157M30AHF8R</v>
      </c>
      <c r="F227" s="91">
        <v>1.1202702043334607</v>
      </c>
      <c r="G227" s="92">
        <v>1.0669240041271053</v>
      </c>
      <c r="H227" s="92">
        <v>1.226962604746171</v>
      </c>
      <c r="I227" s="92">
        <v>1.0575492872629273</v>
      </c>
      <c r="J227" s="92">
        <v>1.1079087771325906</v>
      </c>
      <c r="K227" s="92">
        <v>1.1079087771325906</v>
      </c>
      <c r="L227" s="93">
        <f t="shared" si="22"/>
        <v>1.1145872757891409</v>
      </c>
      <c r="M227" s="91">
        <v>1.1040173620062985</v>
      </c>
      <c r="N227" s="92">
        <v>1.2091618726735649</v>
      </c>
      <c r="O227" s="92">
        <v>1.1565896173399317</v>
      </c>
      <c r="P227" s="92">
        <v>1.1837099890537164</v>
      </c>
      <c r="Q227" s="92">
        <v>1.2400771313896075</v>
      </c>
      <c r="R227" s="92">
        <v>1.2400771313896075</v>
      </c>
      <c r="S227" s="94">
        <f t="shared" si="25"/>
        <v>1.1889388506421212</v>
      </c>
      <c r="U227" t="s">
        <v>155</v>
      </c>
      <c r="V227" t="s">
        <v>118</v>
      </c>
      <c r="W227">
        <v>1.1202702043334607</v>
      </c>
      <c r="X227">
        <v>1.0669240041271053</v>
      </c>
      <c r="Y227">
        <v>1.226962604746171</v>
      </c>
      <c r="Z227">
        <v>1.0575492872629273</v>
      </c>
      <c r="AA227">
        <v>1.1079087771325906</v>
      </c>
      <c r="AB227">
        <v>1.1079087771325906</v>
      </c>
      <c r="AC227">
        <v>1.1145872757891409</v>
      </c>
      <c r="AD227">
        <v>1.1040173620062985</v>
      </c>
      <c r="AE227">
        <v>1.2091618726735649</v>
      </c>
      <c r="AF227">
        <v>1.1565896173399317</v>
      </c>
      <c r="AG227">
        <v>1.1837099890537164</v>
      </c>
      <c r="AH227">
        <v>1.2400771313896075</v>
      </c>
      <c r="AI227">
        <v>1.2400771313896075</v>
      </c>
      <c r="AJ227">
        <v>1.1889388506421212</v>
      </c>
    </row>
    <row r="228" spans="1:36">
      <c r="A228" s="71" t="s">
        <v>155</v>
      </c>
      <c r="B228" s="17" t="s">
        <v>118</v>
      </c>
      <c r="C228" s="89" t="s">
        <v>282</v>
      </c>
      <c r="D228" s="89" t="s">
        <v>282</v>
      </c>
      <c r="E228" s="90" t="str">
        <f>VLOOKUP(D228,'[46]Yield Cal Oracle (base) '!$D:$E,2,0)</f>
        <v>TEPSLB30J157M30PHF8R</v>
      </c>
      <c r="F228" s="91">
        <v>9150.9099175997253</v>
      </c>
      <c r="G228" s="92">
        <v>8715.1523024759281</v>
      </c>
      <c r="H228" s="92">
        <v>10022.425147847318</v>
      </c>
      <c r="I228" s="92">
        <v>8638.5896062518786</v>
      </c>
      <c r="J228" s="92">
        <v>9049.9510160733953</v>
      </c>
      <c r="K228" s="92">
        <v>9049.9510160733953</v>
      </c>
      <c r="L228" s="93">
        <f t="shared" si="22"/>
        <v>9104.4965010536052</v>
      </c>
      <c r="M228" s="91">
        <v>9018.1566964293979</v>
      </c>
      <c r="N228" s="92">
        <v>9877.0287627560083</v>
      </c>
      <c r="O228" s="92">
        <v>9447.5927295927049</v>
      </c>
      <c r="P228" s="92">
        <v>9669.1615692949727</v>
      </c>
      <c r="Q228" s="92">
        <v>10129.597834499493</v>
      </c>
      <c r="R228" s="92">
        <v>10129.597834499493</v>
      </c>
      <c r="S228" s="94">
        <f t="shared" si="25"/>
        <v>9711.855904512011</v>
      </c>
      <c r="U228" t="s">
        <v>155</v>
      </c>
      <c r="V228" t="s">
        <v>118</v>
      </c>
      <c r="W228">
        <v>9150.9099175997253</v>
      </c>
      <c r="X228">
        <v>8715.1523024759281</v>
      </c>
      <c r="Y228">
        <v>10022.425147847318</v>
      </c>
      <c r="Z228">
        <v>8638.5896062518786</v>
      </c>
      <c r="AA228">
        <v>9049.9510160733953</v>
      </c>
      <c r="AB228">
        <v>9049.9510160733953</v>
      </c>
      <c r="AC228">
        <v>9104.4965010536052</v>
      </c>
      <c r="AD228">
        <v>9018.1566964293979</v>
      </c>
      <c r="AE228">
        <v>9877.0287627560083</v>
      </c>
      <c r="AF228">
        <v>9447.5927295927049</v>
      </c>
      <c r="AG228">
        <v>9669.1615692949727</v>
      </c>
      <c r="AH228">
        <v>10129.597834499493</v>
      </c>
      <c r="AI228">
        <v>10129.597834499493</v>
      </c>
      <c r="AJ228">
        <v>9711.855904512011</v>
      </c>
    </row>
    <row r="229" spans="1:36">
      <c r="A229" s="71" t="s">
        <v>155</v>
      </c>
      <c r="B229" s="17" t="s">
        <v>118</v>
      </c>
      <c r="C229" s="89" t="s">
        <v>283</v>
      </c>
      <c r="D229" s="89" t="s">
        <v>283</v>
      </c>
      <c r="E229" s="90" t="str">
        <f>VLOOKUP(D229,'[46]Yield Cal Oracle (base) '!$D:$E,2,0)</f>
        <v>TEPSLB30J157M358R</v>
      </c>
      <c r="F229" s="91">
        <v>4.4182841021521275</v>
      </c>
      <c r="G229" s="92">
        <v>4.2078896210972632</v>
      </c>
      <c r="H229" s="92">
        <v>4.8390730642618527</v>
      </c>
      <c r="I229" s="92">
        <v>4.3857160593007656</v>
      </c>
      <c r="J229" s="92">
        <v>4.5945596811722309</v>
      </c>
      <c r="K229" s="92">
        <v>4.5945596811722309</v>
      </c>
      <c r="L229" s="93">
        <f t="shared" si="22"/>
        <v>4.5066803681927459</v>
      </c>
      <c r="M229" s="91">
        <v>4.5075483956741946</v>
      </c>
      <c r="N229" s="92">
        <v>4.9368387190717371</v>
      </c>
      <c r="O229" s="92">
        <v>4.7221935573729663</v>
      </c>
      <c r="P229" s="92">
        <v>4.6141449421273597</v>
      </c>
      <c r="Q229" s="92">
        <v>4.8338661298477099</v>
      </c>
      <c r="R229" s="92">
        <v>4.8338661298477099</v>
      </c>
      <c r="S229" s="94">
        <f t="shared" si="25"/>
        <v>4.7414096456569466</v>
      </c>
      <c r="U229" t="s">
        <v>155</v>
      </c>
      <c r="V229" t="s">
        <v>118</v>
      </c>
      <c r="W229">
        <v>4.4182841021521275</v>
      </c>
      <c r="X229">
        <v>4.2078896210972632</v>
      </c>
      <c r="Y229">
        <v>4.8390730642618527</v>
      </c>
      <c r="Z229">
        <v>4.3857160593007656</v>
      </c>
      <c r="AA229">
        <v>4.5945596811722309</v>
      </c>
      <c r="AB229">
        <v>4.5945596811722309</v>
      </c>
      <c r="AC229">
        <v>4.5066803681927459</v>
      </c>
      <c r="AD229">
        <v>4.5075483956741946</v>
      </c>
      <c r="AE229">
        <v>4.9368387190717371</v>
      </c>
      <c r="AF229">
        <v>4.7221935573729663</v>
      </c>
      <c r="AG229">
        <v>4.6141449421273597</v>
      </c>
      <c r="AH229">
        <v>4.8338661298477099</v>
      </c>
      <c r="AI229">
        <v>4.8338661298477099</v>
      </c>
      <c r="AJ229">
        <v>4.7414096456569466</v>
      </c>
    </row>
    <row r="230" spans="1:36">
      <c r="A230" s="71" t="s">
        <v>155</v>
      </c>
      <c r="B230" s="17" t="s">
        <v>118</v>
      </c>
      <c r="C230" s="89" t="s">
        <v>284</v>
      </c>
      <c r="D230" s="89" t="s">
        <v>284</v>
      </c>
      <c r="E230" s="90" t="str">
        <f>VLOOKUP(D230,'[46]Yield Cal Oracle (base) '!$D:$E,2,0)</f>
        <v>TEPSLB31A476M8R</v>
      </c>
      <c r="F230" s="91">
        <v>52.283028542133515</v>
      </c>
      <c r="G230" s="92">
        <v>49.793360516317627</v>
      </c>
      <c r="H230" s="92">
        <v>57.262364593765277</v>
      </c>
      <c r="I230" s="92">
        <v>51.897640035059069</v>
      </c>
      <c r="J230" s="92">
        <v>54.368956227204741</v>
      </c>
      <c r="K230" s="92">
        <v>54.368956227204741</v>
      </c>
      <c r="L230" s="93">
        <f t="shared" si="22"/>
        <v>53.32905102361417</v>
      </c>
      <c r="M230" s="91">
        <v>53.339322682144626</v>
      </c>
      <c r="N230" s="92">
        <v>58.419258175682216</v>
      </c>
      <c r="O230" s="92">
        <v>55.879290428913421</v>
      </c>
      <c r="P230" s="92">
        <v>54.600715148507078</v>
      </c>
      <c r="Q230" s="92">
        <v>57.200749203197894</v>
      </c>
      <c r="R230" s="92">
        <v>57.200749203197894</v>
      </c>
      <c r="S230" s="94">
        <f t="shared" si="25"/>
        <v>56.106680806940524</v>
      </c>
      <c r="U230" t="s">
        <v>155</v>
      </c>
      <c r="V230" t="s">
        <v>118</v>
      </c>
      <c r="W230">
        <v>52.283028542133515</v>
      </c>
      <c r="X230">
        <v>49.793360516317627</v>
      </c>
      <c r="Y230">
        <v>57.262364593765277</v>
      </c>
      <c r="Z230">
        <v>51.897640035059069</v>
      </c>
      <c r="AA230">
        <v>54.368956227204741</v>
      </c>
      <c r="AB230">
        <v>54.368956227204741</v>
      </c>
      <c r="AC230">
        <v>53.32905102361417</v>
      </c>
      <c r="AD230">
        <v>53.339322682144626</v>
      </c>
      <c r="AE230">
        <v>58.419258175682216</v>
      </c>
      <c r="AF230">
        <v>55.879290428913421</v>
      </c>
      <c r="AG230">
        <v>54.600715148507078</v>
      </c>
      <c r="AH230">
        <v>57.200749203197894</v>
      </c>
      <c r="AI230">
        <v>57.200749203197894</v>
      </c>
      <c r="AJ230">
        <v>56.106680806940524</v>
      </c>
    </row>
    <row r="231" spans="1:36">
      <c r="A231" s="71" t="s">
        <v>155</v>
      </c>
      <c r="B231" s="17" t="s">
        <v>118</v>
      </c>
      <c r="C231" s="72" t="s">
        <v>285</v>
      </c>
      <c r="D231" s="72" t="s">
        <v>285</v>
      </c>
      <c r="E231" s="66" t="e">
        <f>VLOOKUP(D231,'[46]Yield Cal Oracle (base) '!$D:$E,2,0)</f>
        <v>#N/A</v>
      </c>
      <c r="F231" s="91">
        <v>90.368111409254439</v>
      </c>
      <c r="G231" s="92">
        <v>86.064868008813747</v>
      </c>
      <c r="H231" s="92">
        <v>98.974598210135824</v>
      </c>
      <c r="I231" s="92">
        <v>88.977832772188989</v>
      </c>
      <c r="J231" s="92">
        <v>93.21487242800751</v>
      </c>
      <c r="K231" s="92">
        <v>93.21487242800751</v>
      </c>
      <c r="L231" s="93">
        <f t="shared" si="22"/>
        <v>91.802525876068003</v>
      </c>
      <c r="M231" s="91">
        <v>90.306763603232142</v>
      </c>
      <c r="N231" s="92">
        <v>98.907407755920914</v>
      </c>
      <c r="O231" s="92">
        <v>94.607085679576542</v>
      </c>
      <c r="P231" s="92">
        <v>91.696098427897311</v>
      </c>
      <c r="Q231" s="92">
        <v>96.062579305416222</v>
      </c>
      <c r="R231" s="92">
        <v>96.062579305416222</v>
      </c>
      <c r="S231" s="94">
        <f t="shared" si="25"/>
        <v>94.607085679576542</v>
      </c>
      <c r="U231" t="s">
        <v>155</v>
      </c>
      <c r="V231" t="s">
        <v>118</v>
      </c>
      <c r="W231">
        <v>90.368111409254439</v>
      </c>
      <c r="X231">
        <v>86.064868008813747</v>
      </c>
      <c r="Y231">
        <v>98.974598210135824</v>
      </c>
      <c r="Z231">
        <v>88.977832772188989</v>
      </c>
      <c r="AA231">
        <v>93.21487242800751</v>
      </c>
      <c r="AB231">
        <v>93.21487242800751</v>
      </c>
      <c r="AC231">
        <v>91.802525876068003</v>
      </c>
      <c r="AD231">
        <v>90.306763603232142</v>
      </c>
      <c r="AE231">
        <v>98.907407755920914</v>
      </c>
      <c r="AF231">
        <v>94.607085679576542</v>
      </c>
      <c r="AG231">
        <v>91.696098427897311</v>
      </c>
      <c r="AH231">
        <v>96.062579305416222</v>
      </c>
      <c r="AI231">
        <v>96.062579305416222</v>
      </c>
      <c r="AJ231">
        <v>94.607085679576542</v>
      </c>
    </row>
    <row r="232" spans="1:36">
      <c r="A232" s="71" t="s">
        <v>155</v>
      </c>
      <c r="B232" s="17" t="s">
        <v>118</v>
      </c>
      <c r="C232" s="89" t="s">
        <v>286</v>
      </c>
      <c r="D232" s="89" t="s">
        <v>286</v>
      </c>
      <c r="E232" s="90" t="str">
        <f>VLOOKUP(D232,'[46]Yield Cal Oracle (base) '!$D:$E,2,0)</f>
        <v>TEPSLB31C336M558RF</v>
      </c>
      <c r="F232" s="91">
        <v>50.810267174749463</v>
      </c>
      <c r="G232" s="92">
        <v>48.390730642618529</v>
      </c>
      <c r="H232" s="92">
        <v>55.649340239011309</v>
      </c>
      <c r="I232" s="92">
        <v>50.435734681958806</v>
      </c>
      <c r="J232" s="92">
        <v>52.83743633348066</v>
      </c>
      <c r="K232" s="92">
        <v>52.83743633348066</v>
      </c>
      <c r="L232" s="93">
        <f t="shared" si="22"/>
        <v>51.826824234216566</v>
      </c>
      <c r="M232" s="91">
        <v>51.836806550253236</v>
      </c>
      <c r="N232" s="92">
        <v>56.77364526932498</v>
      </c>
      <c r="O232" s="92">
        <v>54.305225909789101</v>
      </c>
      <c r="P232" s="92">
        <v>53.062666834464622</v>
      </c>
      <c r="Q232" s="92">
        <v>55.589460493248652</v>
      </c>
      <c r="R232" s="92">
        <v>55.589460493248652</v>
      </c>
      <c r="S232" s="94">
        <f t="shared" si="25"/>
        <v>54.526210925054876</v>
      </c>
      <c r="U232" t="s">
        <v>155</v>
      </c>
      <c r="V232" t="s">
        <v>118</v>
      </c>
      <c r="W232">
        <v>50.810267174749463</v>
      </c>
      <c r="X232">
        <v>48.390730642618529</v>
      </c>
      <c r="Y232">
        <v>55.649340239011309</v>
      </c>
      <c r="Z232">
        <v>50.435734681958806</v>
      </c>
      <c r="AA232">
        <v>52.83743633348066</v>
      </c>
      <c r="AB232">
        <v>52.83743633348066</v>
      </c>
      <c r="AC232">
        <v>51.826824234216566</v>
      </c>
      <c r="AD232">
        <v>51.836806550253236</v>
      </c>
      <c r="AE232">
        <v>56.77364526932498</v>
      </c>
      <c r="AF232">
        <v>54.305225909789101</v>
      </c>
      <c r="AG232">
        <v>53.062666834464622</v>
      </c>
      <c r="AH232">
        <v>55.589460493248652</v>
      </c>
      <c r="AI232">
        <v>55.589460493248652</v>
      </c>
      <c r="AJ232">
        <v>54.526210925054876</v>
      </c>
    </row>
    <row r="233" spans="1:36">
      <c r="A233" s="71" t="s">
        <v>155</v>
      </c>
      <c r="B233" s="17" t="s">
        <v>118</v>
      </c>
      <c r="C233" s="72" t="s">
        <v>287</v>
      </c>
      <c r="D233" s="72" t="s">
        <v>287</v>
      </c>
      <c r="E233" s="66" t="e">
        <f>VLOOKUP(D233,'[46]Yield Cal Oracle (base) '!$D:$E,2,0)</f>
        <v>#N/A</v>
      </c>
      <c r="F233" s="91">
        <v>109.8616493122134</v>
      </c>
      <c r="G233" s="92">
        <v>104.630142202108</v>
      </c>
      <c r="H233" s="92">
        <v>120.32466353242418</v>
      </c>
      <c r="I233" s="92">
        <v>121.65488670143448</v>
      </c>
      <c r="J233" s="92">
        <v>127.44797654435992</v>
      </c>
      <c r="K233" s="92">
        <v>127.44797654435992</v>
      </c>
      <c r="L233" s="93">
        <f t="shared" si="22"/>
        <v>118.56121580614997</v>
      </c>
      <c r="M233" s="91">
        <v>134.78808469761211</v>
      </c>
      <c r="N233" s="92">
        <v>147.6250451450037</v>
      </c>
      <c r="O233" s="92">
        <v>141.20656492130792</v>
      </c>
      <c r="P233" s="92">
        <v>136.86174753911379</v>
      </c>
      <c r="Q233" s="92">
        <v>143.37897361240493</v>
      </c>
      <c r="R233" s="92">
        <v>143.37897361240493</v>
      </c>
      <c r="S233" s="94">
        <f t="shared" si="25"/>
        <v>141.20656492130789</v>
      </c>
      <c r="U233" t="s">
        <v>155</v>
      </c>
      <c r="V233" t="s">
        <v>118</v>
      </c>
      <c r="W233">
        <v>109.8616493122134</v>
      </c>
      <c r="X233">
        <v>104.630142202108</v>
      </c>
      <c r="Y233">
        <v>120.32466353242418</v>
      </c>
      <c r="Z233">
        <v>121.65488670143448</v>
      </c>
      <c r="AA233">
        <v>127.44797654435992</v>
      </c>
      <c r="AB233">
        <v>127.44797654435992</v>
      </c>
      <c r="AC233">
        <v>118.56121580614997</v>
      </c>
      <c r="AD233">
        <v>134.78808469761211</v>
      </c>
      <c r="AE233">
        <v>147.6250451450037</v>
      </c>
      <c r="AF233">
        <v>141.20656492130792</v>
      </c>
      <c r="AG233">
        <v>136.86174753911379</v>
      </c>
      <c r="AH233">
        <v>143.37897361240493</v>
      </c>
      <c r="AI233">
        <v>143.37897361240493</v>
      </c>
      <c r="AJ233">
        <v>141.20656492130789</v>
      </c>
    </row>
    <row r="234" spans="1:36">
      <c r="A234" s="71" t="s">
        <v>155</v>
      </c>
      <c r="B234" s="17" t="s">
        <v>118</v>
      </c>
      <c r="C234" s="89" t="s">
        <v>288</v>
      </c>
      <c r="D234" s="89" t="s">
        <v>288</v>
      </c>
      <c r="E234" s="90" t="str">
        <f>VLOOKUP(D234,'[46]Yield Cal Oracle (base) '!$D:$E,2,0)</f>
        <v>TEPSLB31C336M55E8RLG</v>
      </c>
      <c r="F234" s="91">
        <v>634.39208173079021</v>
      </c>
      <c r="G234" s="92">
        <v>604.18293498170499</v>
      </c>
      <c r="H234" s="92">
        <v>694.81037522896077</v>
      </c>
      <c r="I234" s="92">
        <v>629.71585267338105</v>
      </c>
      <c r="J234" s="92">
        <v>659.702321848304</v>
      </c>
      <c r="K234" s="92">
        <v>659.702321848304</v>
      </c>
      <c r="L234" s="93">
        <f t="shared" ref="L234:L251" si="26">SUM(F234:K234)/6</f>
        <v>647.08431471857421</v>
      </c>
      <c r="M234" s="91">
        <v>647.20894902189752</v>
      </c>
      <c r="N234" s="92">
        <v>708.84789654779252</v>
      </c>
      <c r="O234" s="92">
        <v>678.02842278484502</v>
      </c>
      <c r="P234" s="92">
        <v>662.51443944447965</v>
      </c>
      <c r="Q234" s="92">
        <v>694.06274608469289</v>
      </c>
      <c r="R234" s="92">
        <v>694.06274608469289</v>
      </c>
      <c r="S234" s="94">
        <f t="shared" si="25"/>
        <v>680.78753332806673</v>
      </c>
      <c r="U234" t="s">
        <v>155</v>
      </c>
      <c r="V234" t="s">
        <v>118</v>
      </c>
      <c r="W234">
        <v>634.39208173079021</v>
      </c>
      <c r="X234">
        <v>604.18293498170499</v>
      </c>
      <c r="Y234">
        <v>694.81037522896077</v>
      </c>
      <c r="Z234">
        <v>629.71585267338105</v>
      </c>
      <c r="AA234">
        <v>659.702321848304</v>
      </c>
      <c r="AB234">
        <v>659.702321848304</v>
      </c>
      <c r="AC234">
        <v>647.08431471857421</v>
      </c>
      <c r="AD234">
        <v>647.20894902189752</v>
      </c>
      <c r="AE234">
        <v>708.84789654779252</v>
      </c>
      <c r="AF234">
        <v>678.02842278484502</v>
      </c>
      <c r="AG234">
        <v>662.51443944447965</v>
      </c>
      <c r="AH234">
        <v>694.06274608469289</v>
      </c>
      <c r="AI234">
        <v>694.06274608469289</v>
      </c>
      <c r="AJ234">
        <v>680.78753332806673</v>
      </c>
    </row>
    <row r="235" spans="1:36">
      <c r="A235" s="71" t="s">
        <v>155</v>
      </c>
      <c r="B235" s="17" t="s">
        <v>118</v>
      </c>
      <c r="C235" s="89" t="s">
        <v>289</v>
      </c>
      <c r="D235" s="89" t="s">
        <v>289</v>
      </c>
      <c r="E235" s="90" t="str">
        <f>VLOOKUP(D235,'[46]Yield Cal Oracle (base) '!$D:$E,2,0)</f>
        <v>TEPSLB31C336M55PHF8R</v>
      </c>
      <c r="F235" s="91">
        <v>5565.8757985300754</v>
      </c>
      <c r="G235" s="92">
        <v>5300.8340938381671</v>
      </c>
      <c r="H235" s="92">
        <v>6095.9592079138911</v>
      </c>
      <c r="I235" s="92">
        <v>5254.2573755513104</v>
      </c>
      <c r="J235" s="92">
        <v>5504.4601077204206</v>
      </c>
      <c r="K235" s="92">
        <v>5504.4601077204206</v>
      </c>
      <c r="L235" s="93">
        <f t="shared" si="26"/>
        <v>5537.641115212381</v>
      </c>
      <c r="M235" s="91">
        <v>5485.126260234626</v>
      </c>
      <c r="N235" s="92">
        <v>6007.5192373998289</v>
      </c>
      <c r="O235" s="92">
        <v>5746.3227488172279</v>
      </c>
      <c r="P235" s="92">
        <v>5881.0657956152127</v>
      </c>
      <c r="Q235" s="92">
        <v>6161.1165477873656</v>
      </c>
      <c r="R235" s="92">
        <v>6161.1165477873656</v>
      </c>
      <c r="S235" s="94">
        <f t="shared" si="25"/>
        <v>5907.0445229402712</v>
      </c>
      <c r="U235" t="s">
        <v>155</v>
      </c>
      <c r="V235" t="s">
        <v>118</v>
      </c>
      <c r="W235">
        <v>5565.8757985300754</v>
      </c>
      <c r="X235">
        <v>5300.8340938381671</v>
      </c>
      <c r="Y235">
        <v>6095.9592079138911</v>
      </c>
      <c r="Z235">
        <v>5254.2573755513104</v>
      </c>
      <c r="AA235">
        <v>5504.4601077204206</v>
      </c>
      <c r="AB235">
        <v>5504.4601077204206</v>
      </c>
      <c r="AC235">
        <v>5537.641115212381</v>
      </c>
      <c r="AD235">
        <v>5485.126260234626</v>
      </c>
      <c r="AE235">
        <v>6007.5192373998289</v>
      </c>
      <c r="AF235">
        <v>5746.3227488172279</v>
      </c>
      <c r="AG235">
        <v>5881.0657956152127</v>
      </c>
      <c r="AH235">
        <v>6161.1165477873656</v>
      </c>
      <c r="AI235">
        <v>6161.1165477873656</v>
      </c>
      <c r="AJ235">
        <v>5907.0445229402712</v>
      </c>
    </row>
    <row r="236" spans="1:36">
      <c r="A236" s="71" t="s">
        <v>155</v>
      </c>
      <c r="B236" s="17" t="s">
        <v>118</v>
      </c>
      <c r="C236" s="89" t="s">
        <v>290</v>
      </c>
      <c r="D236" s="89" t="s">
        <v>290</v>
      </c>
      <c r="E236" s="90" t="str">
        <f>VLOOKUP(D236,'[46]Yield Cal Oracle (base) '!$D:$E,2,0)</f>
        <v>TEPSLB31M276M55QHF8R</v>
      </c>
      <c r="F236" s="91">
        <v>5672.3078375621853</v>
      </c>
      <c r="G236" s="92">
        <v>5402.197940535415</v>
      </c>
      <c r="H236" s="92">
        <v>6212.5276316157269</v>
      </c>
      <c r="I236" s="92">
        <v>5332.822177740517</v>
      </c>
      <c r="J236" s="92">
        <v>5586.7660909662563</v>
      </c>
      <c r="K236" s="92">
        <v>5586.7660909662563</v>
      </c>
      <c r="L236" s="93">
        <f t="shared" si="26"/>
        <v>5632.231294897726</v>
      </c>
      <c r="M236" s="91">
        <v>5559.0170259811503</v>
      </c>
      <c r="N236" s="92">
        <v>6088.4472189317376</v>
      </c>
      <c r="O236" s="92">
        <v>5823.7321224564448</v>
      </c>
      <c r="P236" s="92">
        <v>5959.7096303662966</v>
      </c>
      <c r="Q236" s="92">
        <v>6243.505327050405</v>
      </c>
      <c r="R236" s="92">
        <v>6243.505327050405</v>
      </c>
      <c r="S236" s="94">
        <f t="shared" si="25"/>
        <v>5986.3194419727406</v>
      </c>
      <c r="U236" t="s">
        <v>155</v>
      </c>
      <c r="V236" t="s">
        <v>118</v>
      </c>
      <c r="W236">
        <v>5672.3078375621853</v>
      </c>
      <c r="X236">
        <v>5402.197940535415</v>
      </c>
      <c r="Y236">
        <v>6212.5276316157269</v>
      </c>
      <c r="Z236">
        <v>5332.822177740517</v>
      </c>
      <c r="AA236">
        <v>5586.7660909662563</v>
      </c>
      <c r="AB236">
        <v>5586.7660909662563</v>
      </c>
      <c r="AC236">
        <v>5632.231294897726</v>
      </c>
      <c r="AD236">
        <v>5559.0170259811503</v>
      </c>
      <c r="AE236">
        <v>6088.4472189317376</v>
      </c>
      <c r="AF236">
        <v>5823.7321224564448</v>
      </c>
      <c r="AG236">
        <v>5959.7096303662966</v>
      </c>
      <c r="AH236">
        <v>6243.505327050405</v>
      </c>
      <c r="AI236">
        <v>6243.505327050405</v>
      </c>
      <c r="AJ236">
        <v>5986.3194419727406</v>
      </c>
    </row>
    <row r="237" spans="1:36">
      <c r="A237" s="71" t="s">
        <v>155</v>
      </c>
      <c r="B237" s="17" t="s">
        <v>118</v>
      </c>
      <c r="C237" s="89"/>
      <c r="D237" s="89"/>
      <c r="E237" s="46"/>
      <c r="F237" s="91"/>
      <c r="G237" s="92"/>
      <c r="H237" s="92"/>
      <c r="I237" s="92"/>
      <c r="J237" s="92"/>
      <c r="K237" s="92"/>
      <c r="L237" s="93">
        <f t="shared" si="26"/>
        <v>0</v>
      </c>
      <c r="M237" s="91"/>
      <c r="N237" s="92"/>
      <c r="O237" s="92"/>
      <c r="P237" s="92"/>
      <c r="Q237" s="92"/>
      <c r="R237" s="92"/>
      <c r="S237" s="94">
        <f t="shared" si="25"/>
        <v>0</v>
      </c>
      <c r="U237" t="s">
        <v>155</v>
      </c>
      <c r="V237" t="s">
        <v>118</v>
      </c>
      <c r="AC237">
        <v>0</v>
      </c>
      <c r="AJ237">
        <v>0</v>
      </c>
    </row>
    <row r="238" spans="1:36">
      <c r="A238" s="71" t="s">
        <v>155</v>
      </c>
      <c r="B238" s="17" t="s">
        <v>118</v>
      </c>
      <c r="C238" s="89"/>
      <c r="D238" s="89"/>
      <c r="E238" s="46"/>
      <c r="F238" s="91"/>
      <c r="G238" s="92"/>
      <c r="H238" s="92"/>
      <c r="I238" s="92"/>
      <c r="J238" s="92"/>
      <c r="K238" s="92"/>
      <c r="L238" s="93">
        <f t="shared" si="26"/>
        <v>0</v>
      </c>
      <c r="M238" s="91"/>
      <c r="N238" s="92"/>
      <c r="O238" s="92"/>
      <c r="P238" s="92"/>
      <c r="Q238" s="92"/>
      <c r="R238" s="92"/>
      <c r="S238" s="94">
        <f t="shared" si="25"/>
        <v>0</v>
      </c>
      <c r="U238" t="s">
        <v>155</v>
      </c>
      <c r="V238" t="s">
        <v>118</v>
      </c>
      <c r="AC238">
        <v>0</v>
      </c>
      <c r="AJ238">
        <v>0</v>
      </c>
    </row>
    <row r="239" spans="1:36">
      <c r="A239" s="71" t="s">
        <v>155</v>
      </c>
      <c r="B239" s="17" t="s">
        <v>118</v>
      </c>
      <c r="C239" s="89"/>
      <c r="D239" s="89"/>
      <c r="E239" s="46"/>
      <c r="F239" s="91"/>
      <c r="G239" s="92"/>
      <c r="H239" s="92"/>
      <c r="I239" s="92"/>
      <c r="J239" s="92"/>
      <c r="K239" s="92"/>
      <c r="L239" s="93">
        <f t="shared" si="26"/>
        <v>0</v>
      </c>
      <c r="M239" s="91"/>
      <c r="N239" s="92"/>
      <c r="O239" s="92"/>
      <c r="P239" s="92"/>
      <c r="Q239" s="92"/>
      <c r="R239" s="92"/>
      <c r="S239" s="94">
        <f t="shared" si="25"/>
        <v>0</v>
      </c>
      <c r="U239" t="s">
        <v>155</v>
      </c>
      <c r="V239" t="s">
        <v>118</v>
      </c>
      <c r="AC239">
        <v>0</v>
      </c>
      <c r="AJ239">
        <v>0</v>
      </c>
    </row>
    <row r="240" spans="1:36">
      <c r="A240" s="71" t="s">
        <v>155</v>
      </c>
      <c r="B240" s="17" t="s">
        <v>118</v>
      </c>
      <c r="C240" s="89"/>
      <c r="D240" s="89"/>
      <c r="E240" s="46"/>
      <c r="F240" s="91"/>
      <c r="G240" s="92"/>
      <c r="H240" s="92"/>
      <c r="I240" s="92"/>
      <c r="J240" s="92"/>
      <c r="K240" s="92"/>
      <c r="L240" s="93">
        <f t="shared" si="26"/>
        <v>0</v>
      </c>
      <c r="M240" s="91"/>
      <c r="N240" s="92"/>
      <c r="O240" s="92"/>
      <c r="P240" s="92"/>
      <c r="Q240" s="92"/>
      <c r="R240" s="92"/>
      <c r="S240" s="94">
        <f t="shared" si="25"/>
        <v>0</v>
      </c>
      <c r="U240" t="s">
        <v>155</v>
      </c>
      <c r="V240" t="s">
        <v>118</v>
      </c>
      <c r="AC240">
        <v>0</v>
      </c>
      <c r="AJ240">
        <v>0</v>
      </c>
    </row>
    <row r="241" spans="1:36">
      <c r="A241" s="71" t="s">
        <v>155</v>
      </c>
      <c r="B241" s="17" t="s">
        <v>118</v>
      </c>
      <c r="C241" s="89"/>
      <c r="D241" s="89"/>
      <c r="E241" s="46"/>
      <c r="F241" s="91"/>
      <c r="G241" s="92"/>
      <c r="H241" s="92"/>
      <c r="I241" s="92"/>
      <c r="J241" s="92"/>
      <c r="K241" s="92"/>
      <c r="L241" s="93">
        <f t="shared" si="26"/>
        <v>0</v>
      </c>
      <c r="M241" s="91"/>
      <c r="N241" s="92"/>
      <c r="O241" s="92"/>
      <c r="P241" s="92"/>
      <c r="Q241" s="92"/>
      <c r="R241" s="92"/>
      <c r="S241" s="94">
        <f t="shared" si="25"/>
        <v>0</v>
      </c>
      <c r="U241" t="s">
        <v>155</v>
      </c>
      <c r="V241" t="s">
        <v>118</v>
      </c>
      <c r="AC241">
        <v>0</v>
      </c>
      <c r="AJ241">
        <v>0</v>
      </c>
    </row>
    <row r="242" spans="1:36">
      <c r="A242" s="71" t="s">
        <v>155</v>
      </c>
      <c r="B242" s="17" t="s">
        <v>118</v>
      </c>
      <c r="C242" s="89"/>
      <c r="D242" s="89"/>
      <c r="E242" s="46"/>
      <c r="F242" s="91"/>
      <c r="G242" s="92"/>
      <c r="H242" s="92"/>
      <c r="I242" s="92"/>
      <c r="J242" s="92"/>
      <c r="K242" s="92"/>
      <c r="L242" s="93">
        <f t="shared" si="26"/>
        <v>0</v>
      </c>
      <c r="M242" s="91"/>
      <c r="N242" s="92"/>
      <c r="O242" s="92"/>
      <c r="P242" s="92"/>
      <c r="Q242" s="92"/>
      <c r="R242" s="92"/>
      <c r="S242" s="94">
        <f t="shared" si="25"/>
        <v>0</v>
      </c>
      <c r="U242" t="s">
        <v>155</v>
      </c>
      <c r="V242" t="s">
        <v>118</v>
      </c>
      <c r="AC242">
        <v>0</v>
      </c>
      <c r="AJ242">
        <v>0</v>
      </c>
    </row>
    <row r="243" spans="1:36">
      <c r="A243" s="71" t="s">
        <v>155</v>
      </c>
      <c r="B243" s="17" t="s">
        <v>118</v>
      </c>
      <c r="C243" s="89"/>
      <c r="D243" s="89"/>
      <c r="E243" s="46"/>
      <c r="F243" s="91"/>
      <c r="G243" s="92"/>
      <c r="H243" s="92"/>
      <c r="I243" s="92"/>
      <c r="J243" s="92"/>
      <c r="K243" s="92"/>
      <c r="L243" s="93">
        <f t="shared" si="26"/>
        <v>0</v>
      </c>
      <c r="M243" s="91"/>
      <c r="N243" s="92"/>
      <c r="O243" s="92"/>
      <c r="P243" s="92"/>
      <c r="Q243" s="92"/>
      <c r="R243" s="92"/>
      <c r="S243" s="94">
        <f t="shared" si="25"/>
        <v>0</v>
      </c>
      <c r="U243" t="s">
        <v>155</v>
      </c>
      <c r="V243" t="s">
        <v>118</v>
      </c>
      <c r="AC243">
        <v>0</v>
      </c>
      <c r="AJ243">
        <v>0</v>
      </c>
    </row>
    <row r="244" spans="1:36">
      <c r="A244" s="71" t="s">
        <v>155</v>
      </c>
      <c r="B244" s="17" t="s">
        <v>118</v>
      </c>
      <c r="C244" s="89"/>
      <c r="D244" s="89"/>
      <c r="E244" s="46"/>
      <c r="F244" s="91"/>
      <c r="G244" s="92"/>
      <c r="H244" s="92"/>
      <c r="I244" s="92"/>
      <c r="J244" s="92"/>
      <c r="K244" s="92"/>
      <c r="L244" s="93">
        <f t="shared" si="26"/>
        <v>0</v>
      </c>
      <c r="M244" s="91"/>
      <c r="N244" s="92"/>
      <c r="O244" s="92"/>
      <c r="P244" s="92"/>
      <c r="Q244" s="92"/>
      <c r="R244" s="92"/>
      <c r="S244" s="94">
        <f t="shared" si="25"/>
        <v>0</v>
      </c>
      <c r="U244" t="s">
        <v>155</v>
      </c>
      <c r="V244" t="s">
        <v>118</v>
      </c>
      <c r="AC244">
        <v>0</v>
      </c>
      <c r="AJ244">
        <v>0</v>
      </c>
    </row>
    <row r="245" spans="1:36">
      <c r="A245" s="71" t="s">
        <v>155</v>
      </c>
      <c r="B245" s="17" t="s">
        <v>118</v>
      </c>
      <c r="C245" s="89"/>
      <c r="D245" s="89"/>
      <c r="E245" s="46"/>
      <c r="F245" s="91"/>
      <c r="G245" s="92"/>
      <c r="H245" s="92"/>
      <c r="I245" s="92"/>
      <c r="J245" s="92"/>
      <c r="K245" s="92"/>
      <c r="L245" s="93">
        <f t="shared" si="26"/>
        <v>0</v>
      </c>
      <c r="M245" s="91"/>
      <c r="N245" s="92"/>
      <c r="O245" s="92"/>
      <c r="P245" s="92"/>
      <c r="Q245" s="92"/>
      <c r="R245" s="92"/>
      <c r="S245" s="94">
        <f t="shared" si="25"/>
        <v>0</v>
      </c>
      <c r="U245" t="s">
        <v>155</v>
      </c>
      <c r="V245" t="s">
        <v>118</v>
      </c>
      <c r="AC245">
        <v>0</v>
      </c>
      <c r="AJ245">
        <v>0</v>
      </c>
    </row>
    <row r="246" spans="1:36">
      <c r="A246" s="71" t="s">
        <v>155</v>
      </c>
      <c r="B246" s="17" t="s">
        <v>118</v>
      </c>
      <c r="C246" s="89"/>
      <c r="D246" s="89"/>
      <c r="E246" s="46"/>
      <c r="F246" s="91"/>
      <c r="G246" s="92"/>
      <c r="H246" s="92"/>
      <c r="I246" s="92"/>
      <c r="J246" s="92"/>
      <c r="K246" s="92"/>
      <c r="L246" s="93">
        <f t="shared" si="26"/>
        <v>0</v>
      </c>
      <c r="M246" s="91"/>
      <c r="N246" s="92"/>
      <c r="O246" s="92"/>
      <c r="P246" s="92"/>
      <c r="Q246" s="92"/>
      <c r="R246" s="92"/>
      <c r="S246" s="94">
        <f t="shared" si="25"/>
        <v>0</v>
      </c>
      <c r="U246" t="s">
        <v>155</v>
      </c>
      <c r="V246" t="s">
        <v>118</v>
      </c>
      <c r="AC246">
        <v>0</v>
      </c>
      <c r="AJ246">
        <v>0</v>
      </c>
    </row>
    <row r="247" spans="1:36">
      <c r="A247" s="71" t="s">
        <v>155</v>
      </c>
      <c r="B247" s="17" t="s">
        <v>118</v>
      </c>
      <c r="C247" s="89"/>
      <c r="D247" s="89"/>
      <c r="E247" s="46"/>
      <c r="F247" s="91"/>
      <c r="G247" s="92"/>
      <c r="H247" s="92"/>
      <c r="I247" s="92"/>
      <c r="J247" s="92"/>
      <c r="K247" s="92"/>
      <c r="L247" s="93">
        <f t="shared" si="26"/>
        <v>0</v>
      </c>
      <c r="M247" s="91"/>
      <c r="N247" s="92"/>
      <c r="O247" s="92"/>
      <c r="P247" s="92"/>
      <c r="Q247" s="92"/>
      <c r="R247" s="92"/>
      <c r="S247" s="94">
        <f t="shared" si="25"/>
        <v>0</v>
      </c>
      <c r="U247" t="s">
        <v>155</v>
      </c>
      <c r="V247" t="s">
        <v>118</v>
      </c>
      <c r="AC247">
        <v>0</v>
      </c>
      <c r="AJ247">
        <v>0</v>
      </c>
    </row>
    <row r="248" spans="1:36">
      <c r="A248" s="71" t="s">
        <v>155</v>
      </c>
      <c r="B248" s="17" t="s">
        <v>118</v>
      </c>
      <c r="C248" s="89"/>
      <c r="D248" s="89"/>
      <c r="E248" s="46"/>
      <c r="F248" s="91"/>
      <c r="G248" s="92"/>
      <c r="H248" s="92"/>
      <c r="I248" s="92"/>
      <c r="J248" s="92"/>
      <c r="K248" s="92"/>
      <c r="L248" s="93">
        <f t="shared" si="26"/>
        <v>0</v>
      </c>
      <c r="M248" s="91"/>
      <c r="N248" s="92"/>
      <c r="O248" s="92"/>
      <c r="P248" s="92"/>
      <c r="Q248" s="92"/>
      <c r="R248" s="92"/>
      <c r="S248" s="94">
        <f t="shared" si="25"/>
        <v>0</v>
      </c>
      <c r="U248" t="s">
        <v>155</v>
      </c>
      <c r="V248" t="s">
        <v>118</v>
      </c>
      <c r="AC248">
        <v>0</v>
      </c>
      <c r="AJ248">
        <v>0</v>
      </c>
    </row>
    <row r="249" spans="1:36">
      <c r="A249" s="71" t="s">
        <v>155</v>
      </c>
      <c r="B249" s="17" t="s">
        <v>118</v>
      </c>
      <c r="C249" s="89"/>
      <c r="D249" s="89"/>
      <c r="E249" s="46"/>
      <c r="F249" s="91"/>
      <c r="G249" s="92"/>
      <c r="H249" s="92"/>
      <c r="I249" s="92"/>
      <c r="J249" s="92"/>
      <c r="K249" s="92"/>
      <c r="L249" s="93">
        <f t="shared" si="26"/>
        <v>0</v>
      </c>
      <c r="M249" s="91"/>
      <c r="N249" s="92"/>
      <c r="O249" s="92"/>
      <c r="P249" s="92"/>
      <c r="Q249" s="92"/>
      <c r="R249" s="92"/>
      <c r="S249" s="94">
        <f t="shared" si="25"/>
        <v>0</v>
      </c>
      <c r="U249" t="s">
        <v>155</v>
      </c>
      <c r="V249" t="s">
        <v>118</v>
      </c>
      <c r="AC249">
        <v>0</v>
      </c>
      <c r="AJ249">
        <v>0</v>
      </c>
    </row>
    <row r="250" spans="1:36">
      <c r="A250" s="71" t="s">
        <v>155</v>
      </c>
      <c r="B250" s="17" t="s">
        <v>118</v>
      </c>
      <c r="C250" s="89"/>
      <c r="D250" s="89"/>
      <c r="E250" s="46"/>
      <c r="F250" s="91"/>
      <c r="G250" s="92"/>
      <c r="H250" s="92"/>
      <c r="I250" s="92"/>
      <c r="J250" s="92"/>
      <c r="K250" s="92"/>
      <c r="L250" s="93">
        <f t="shared" si="26"/>
        <v>0</v>
      </c>
      <c r="M250" s="91"/>
      <c r="N250" s="92"/>
      <c r="O250" s="92"/>
      <c r="P250" s="92"/>
      <c r="Q250" s="92"/>
      <c r="R250" s="92"/>
      <c r="S250" s="94">
        <f t="shared" si="25"/>
        <v>0</v>
      </c>
      <c r="U250" t="s">
        <v>155</v>
      </c>
      <c r="V250" t="s">
        <v>118</v>
      </c>
      <c r="AC250">
        <v>0</v>
      </c>
      <c r="AJ250">
        <v>0</v>
      </c>
    </row>
    <row r="251" spans="1:36">
      <c r="A251" s="71" t="s">
        <v>155</v>
      </c>
      <c r="B251" s="17" t="s">
        <v>118</v>
      </c>
      <c r="C251" s="89"/>
      <c r="D251" s="89"/>
      <c r="E251" s="46"/>
      <c r="F251" s="91"/>
      <c r="G251" s="92"/>
      <c r="H251" s="92"/>
      <c r="I251" s="92"/>
      <c r="J251" s="92"/>
      <c r="K251" s="92"/>
      <c r="L251" s="93">
        <f t="shared" si="26"/>
        <v>0</v>
      </c>
      <c r="M251" s="91"/>
      <c r="N251" s="92"/>
      <c r="O251" s="92"/>
      <c r="P251" s="92"/>
      <c r="Q251" s="92"/>
      <c r="R251" s="92"/>
      <c r="S251" s="94">
        <f t="shared" si="25"/>
        <v>0</v>
      </c>
      <c r="U251" t="s">
        <v>155</v>
      </c>
      <c r="V251" t="s">
        <v>118</v>
      </c>
      <c r="AC251">
        <v>0</v>
      </c>
      <c r="AJ251">
        <v>0</v>
      </c>
    </row>
    <row r="252" spans="1:36">
      <c r="A252" s="81"/>
      <c r="B252" s="82" t="s">
        <v>118</v>
      </c>
      <c r="C252" s="83" t="s">
        <v>88</v>
      </c>
      <c r="D252" s="83" t="s">
        <v>88</v>
      </c>
      <c r="E252" s="84"/>
      <c r="F252" s="85">
        <f>SUM(F220:F251)</f>
        <v>24480.25439527418</v>
      </c>
      <c r="G252" s="86">
        <f t="shared" ref="G252:S252" si="27">SUM(G220:G251)</f>
        <v>23314.527995499222</v>
      </c>
      <c r="H252" s="86">
        <f t="shared" si="27"/>
        <v>26811.707194824106</v>
      </c>
      <c r="I252" s="86">
        <f t="shared" si="27"/>
        <v>23407.446176256643</v>
      </c>
      <c r="J252" s="86">
        <f t="shared" si="27"/>
        <v>24522.086470364102</v>
      </c>
      <c r="K252" s="86">
        <f t="shared" si="27"/>
        <v>24522.086470364102</v>
      </c>
      <c r="L252" s="87">
        <f t="shared" si="27"/>
        <v>24509.684783763725</v>
      </c>
      <c r="M252" s="85">
        <f t="shared" si="27"/>
        <v>24434.163644323395</v>
      </c>
      <c r="N252" s="86">
        <f t="shared" si="27"/>
        <v>26761.226848544677</v>
      </c>
      <c r="O252" s="86">
        <f t="shared" si="27"/>
        <v>25597.695246434039</v>
      </c>
      <c r="P252" s="86">
        <f t="shared" si="27"/>
        <v>25952.690649030192</v>
      </c>
      <c r="Q252" s="86">
        <f t="shared" si="27"/>
        <v>27188.533060888774</v>
      </c>
      <c r="R252" s="86">
        <f t="shared" si="27"/>
        <v>27188.533060888774</v>
      </c>
      <c r="S252" s="88">
        <f t="shared" si="27"/>
        <v>26187.140418351642</v>
      </c>
      <c r="V252" t="s">
        <v>118</v>
      </c>
      <c r="W252">
        <v>24480.25439527418</v>
      </c>
      <c r="X252">
        <v>23314.527995499222</v>
      </c>
      <c r="Y252">
        <v>26811.707194824106</v>
      </c>
      <c r="Z252">
        <v>23407.446176256643</v>
      </c>
      <c r="AA252">
        <v>24522.086470364102</v>
      </c>
      <c r="AB252">
        <v>24522.086470364102</v>
      </c>
      <c r="AC252">
        <v>24509.684783763725</v>
      </c>
      <c r="AD252">
        <v>24434.163644323395</v>
      </c>
      <c r="AE252">
        <v>26761.226848544677</v>
      </c>
      <c r="AF252">
        <v>25597.695246434039</v>
      </c>
      <c r="AG252">
        <v>25952.690649030192</v>
      </c>
      <c r="AH252">
        <v>27188.533060888774</v>
      </c>
      <c r="AI252">
        <v>27188.533060888774</v>
      </c>
      <c r="AJ252">
        <v>26187.140418351642</v>
      </c>
    </row>
    <row r="253" spans="1:36" ht="15" thickBot="1">
      <c r="A253" s="109" t="s">
        <v>201</v>
      </c>
      <c r="B253" s="110"/>
      <c r="C253" s="111" t="s">
        <v>88</v>
      </c>
      <c r="D253" s="111" t="s">
        <v>88</v>
      </c>
      <c r="E253" s="46"/>
      <c r="F253" s="112">
        <f>+F134+F140+F219+F252</f>
        <v>60260.575358530579</v>
      </c>
      <c r="G253" s="113">
        <f t="shared" ref="G253:S253" si="28">+G134+G140+G219+G252</f>
        <v>57391.024150981502</v>
      </c>
      <c r="H253" s="113">
        <f t="shared" si="28"/>
        <v>65999.677773628719</v>
      </c>
      <c r="I253" s="113">
        <f t="shared" si="28"/>
        <v>59897.66068973051</v>
      </c>
      <c r="J253" s="113">
        <f t="shared" si="28"/>
        <v>62749.930246384349</v>
      </c>
      <c r="K253" s="113">
        <f t="shared" si="28"/>
        <v>62749.930246384349</v>
      </c>
      <c r="L253" s="114">
        <f t="shared" si="28"/>
        <v>61508.133077606675</v>
      </c>
      <c r="M253" s="112">
        <f t="shared" si="28"/>
        <v>62309.322667592627</v>
      </c>
      <c r="N253" s="113">
        <f t="shared" si="28"/>
        <v>68243.543874030031</v>
      </c>
      <c r="O253" s="113">
        <f t="shared" si="28"/>
        <v>65276.433270811322</v>
      </c>
      <c r="P253" s="113">
        <f t="shared" si="28"/>
        <v>64640.241953331213</v>
      </c>
      <c r="Q253" s="113">
        <f t="shared" si="28"/>
        <v>67718.348713013649</v>
      </c>
      <c r="R253" s="113">
        <f t="shared" si="28"/>
        <v>67718.348713013649</v>
      </c>
      <c r="S253" s="115">
        <f t="shared" si="28"/>
        <v>65984.373198632064</v>
      </c>
      <c r="U253" t="s">
        <v>291</v>
      </c>
      <c r="W253">
        <v>60260.575358530579</v>
      </c>
      <c r="X253">
        <v>57391.024150981502</v>
      </c>
      <c r="Y253">
        <v>65999.677773628719</v>
      </c>
      <c r="Z253">
        <v>59897.66068973051</v>
      </c>
      <c r="AA253">
        <v>62749.930246384349</v>
      </c>
      <c r="AB253">
        <v>62749.930246384349</v>
      </c>
      <c r="AC253">
        <v>61508.133077606675</v>
      </c>
      <c r="AD253">
        <v>62309.322667592627</v>
      </c>
      <c r="AE253">
        <v>68243.543874030031</v>
      </c>
      <c r="AF253">
        <v>65276.433270811322</v>
      </c>
      <c r="AG253">
        <v>64640.241953331213</v>
      </c>
      <c r="AH253">
        <v>67718.348713013649</v>
      </c>
      <c r="AI253">
        <v>67718.348713013649</v>
      </c>
      <c r="AJ253">
        <v>65984.373198632064</v>
      </c>
    </row>
    <row r="254" spans="1:36" ht="15" thickBot="1">
      <c r="A254" s="116"/>
      <c r="B254" s="116"/>
      <c r="C254" s="116" t="s">
        <v>88</v>
      </c>
      <c r="D254" s="116" t="s">
        <v>88</v>
      </c>
      <c r="E254" s="117"/>
      <c r="F254" s="118">
        <f t="shared" ref="F254:S254" si="29">+F53+F61+F87+F253</f>
        <v>81111.650341382978</v>
      </c>
      <c r="G254" s="119">
        <f t="shared" si="29"/>
        <v>77249.190801317105</v>
      </c>
      <c r="H254" s="119">
        <f t="shared" si="29"/>
        <v>88836.569421514665</v>
      </c>
      <c r="I254" s="119">
        <f t="shared" si="29"/>
        <v>80057.367512349112</v>
      </c>
      <c r="J254" s="119">
        <f t="shared" si="29"/>
        <v>83869.623108175263</v>
      </c>
      <c r="K254" s="119">
        <f t="shared" si="29"/>
        <v>83869.623108175263</v>
      </c>
      <c r="L254" s="120">
        <f t="shared" si="29"/>
        <v>82499.004048819072</v>
      </c>
      <c r="M254" s="118">
        <f t="shared" si="29"/>
        <v>83637.875625505723</v>
      </c>
      <c r="N254" s="119">
        <f t="shared" si="29"/>
        <v>91603.387589839607</v>
      </c>
      <c r="O254" s="119">
        <f t="shared" si="29"/>
        <v>87620.631607672651</v>
      </c>
      <c r="P254" s="119">
        <f t="shared" si="29"/>
        <v>87105.369736640743</v>
      </c>
      <c r="Q254" s="119">
        <f t="shared" si="29"/>
        <v>91253.24448600458</v>
      </c>
      <c r="R254" s="119">
        <f t="shared" si="29"/>
        <v>91253.24448600458</v>
      </c>
      <c r="S254" s="121">
        <f t="shared" si="29"/>
        <v>88745.625588611292</v>
      </c>
      <c r="W254">
        <v>81111.650341382978</v>
      </c>
      <c r="X254">
        <v>77249.190801317105</v>
      </c>
      <c r="Y254">
        <v>88836.569421514665</v>
      </c>
      <c r="Z254">
        <v>80057.367512349112</v>
      </c>
      <c r="AA254">
        <v>83869.623108175263</v>
      </c>
      <c r="AB254">
        <v>83869.623108175263</v>
      </c>
      <c r="AC254">
        <v>82499.004048819072</v>
      </c>
      <c r="AD254">
        <v>83637.875625505723</v>
      </c>
      <c r="AE254">
        <v>91603.387589839607</v>
      </c>
      <c r="AF254">
        <v>87620.631607672651</v>
      </c>
      <c r="AG254">
        <v>87105.369736640743</v>
      </c>
      <c r="AH254">
        <v>91253.24448600458</v>
      </c>
      <c r="AI254">
        <v>91253.24448600458</v>
      </c>
      <c r="AJ254">
        <v>88745.625588611292</v>
      </c>
    </row>
    <row r="256" spans="1:36">
      <c r="F256" s="59" t="s">
        <v>67</v>
      </c>
      <c r="G256" s="60" t="s">
        <v>68</v>
      </c>
      <c r="H256" s="60" t="s">
        <v>69</v>
      </c>
      <c r="I256" s="60" t="s">
        <v>70</v>
      </c>
      <c r="J256" s="60" t="s">
        <v>71</v>
      </c>
      <c r="K256" s="60" t="s">
        <v>72</v>
      </c>
      <c r="L256" s="61" t="s">
        <v>73</v>
      </c>
      <c r="M256" s="59" t="s">
        <v>74</v>
      </c>
      <c r="N256" s="60" t="s">
        <v>75</v>
      </c>
      <c r="O256" s="60" t="s">
        <v>76</v>
      </c>
      <c r="P256" s="60" t="s">
        <v>77</v>
      </c>
      <c r="Q256" s="60" t="s">
        <v>78</v>
      </c>
      <c r="R256" s="60" t="s">
        <v>79</v>
      </c>
      <c r="S256" s="62" t="s">
        <v>80</v>
      </c>
    </row>
    <row r="257" spans="5:19">
      <c r="E257" t="s">
        <v>292</v>
      </c>
      <c r="F257" s="122">
        <f>F141+F142+F143</f>
        <v>31.496010723889121</v>
      </c>
      <c r="G257" s="122">
        <f t="shared" ref="G257:S257" si="30">G141+G142+G143</f>
        <v>29.99620068941821</v>
      </c>
      <c r="H257" s="122">
        <f t="shared" si="30"/>
        <v>34.495630792830937</v>
      </c>
      <c r="I257" s="122">
        <f t="shared" si="30"/>
        <v>31.219956114104711</v>
      </c>
      <c r="J257" s="122">
        <f t="shared" si="30"/>
        <v>32.706620690966844</v>
      </c>
      <c r="K257" s="122">
        <f t="shared" si="30"/>
        <v>32.706620690966844</v>
      </c>
      <c r="L257" s="122">
        <f t="shared" si="30"/>
        <v>32.103506617029446</v>
      </c>
      <c r="M257" s="122">
        <f t="shared" si="30"/>
        <v>32.017948928916319</v>
      </c>
      <c r="N257" s="122">
        <f t="shared" si="30"/>
        <v>35.06727739833692</v>
      </c>
      <c r="O257" s="122">
        <f t="shared" si="30"/>
        <v>33.542613163626619</v>
      </c>
      <c r="P257" s="122">
        <f t="shared" si="30"/>
        <v>32.729891797156782</v>
      </c>
      <c r="Q257" s="122">
        <f t="shared" si="30"/>
        <v>34.288458073211864</v>
      </c>
      <c r="R257" s="122">
        <f t="shared" si="30"/>
        <v>34.288458073211864</v>
      </c>
      <c r="S257" s="122">
        <f t="shared" si="30"/>
        <v>33.65577457241006</v>
      </c>
    </row>
    <row r="258" spans="5:19">
      <c r="E258" t="s">
        <v>293</v>
      </c>
      <c r="F258" s="122">
        <f>F142+F143</f>
        <v>28.613455336034114</v>
      </c>
      <c r="G258" s="122">
        <f t="shared" ref="G258:S258" si="31">G142+G143</f>
        <v>27.250909843842013</v>
      </c>
      <c r="H258" s="122">
        <f t="shared" si="31"/>
        <v>31.338546320418313</v>
      </c>
      <c r="I258" s="122">
        <f t="shared" si="31"/>
        <v>28.381747732216706</v>
      </c>
      <c r="J258" s="122">
        <f t="shared" si="31"/>
        <v>29.733259528988931</v>
      </c>
      <c r="K258" s="122">
        <f t="shared" si="31"/>
        <v>29.733259528988931</v>
      </c>
      <c r="L258" s="122">
        <f t="shared" si="31"/>
        <v>29.175196381748165</v>
      </c>
      <c r="M258" s="122">
        <f t="shared" si="31"/>
        <v>29.137350408877012</v>
      </c>
      <c r="N258" s="122">
        <f t="shared" si="31"/>
        <v>31.912336162103394</v>
      </c>
      <c r="O258" s="122">
        <f t="shared" si="31"/>
        <v>30.524843285490206</v>
      </c>
      <c r="P258" s="122">
        <f t="shared" si="31"/>
        <v>29.804976376809179</v>
      </c>
      <c r="Q258" s="122">
        <f t="shared" si="31"/>
        <v>31.224260966181046</v>
      </c>
      <c r="R258" s="122">
        <f t="shared" si="31"/>
        <v>31.224260966181046</v>
      </c>
      <c r="S258" s="122">
        <f t="shared" si="31"/>
        <v>30.638004694273647</v>
      </c>
    </row>
    <row r="259" spans="5:19">
      <c r="E259" t="s">
        <v>294</v>
      </c>
      <c r="F259" s="122">
        <f>F144+F145+F146+F147+F148+F149</f>
        <v>9664.3794041125366</v>
      </c>
      <c r="G259" s="122">
        <f t="shared" ref="G259:S259" si="32">G144+G145+G146+G147+G148+G149</f>
        <v>9204.1708610595579</v>
      </c>
      <c r="H259" s="122">
        <f t="shared" si="32"/>
        <v>10584.796490218494</v>
      </c>
      <c r="I259" s="122">
        <f t="shared" si="32"/>
        <v>10282.315881406319</v>
      </c>
      <c r="J259" s="122">
        <f t="shared" si="32"/>
        <v>10771.949970997099</v>
      </c>
      <c r="K259" s="122">
        <f t="shared" si="32"/>
        <v>10771.949970997099</v>
      </c>
      <c r="L259" s="122">
        <f t="shared" si="32"/>
        <v>10213.260429798516</v>
      </c>
      <c r="M259" s="122">
        <f t="shared" si="32"/>
        <v>10811.737778019502</v>
      </c>
      <c r="N259" s="122">
        <f t="shared" si="32"/>
        <v>11841.427090211837</v>
      </c>
      <c r="O259" s="122">
        <f t="shared" si="32"/>
        <v>11326.582434115673</v>
      </c>
      <c r="P259" s="122">
        <f t="shared" si="32"/>
        <v>11004.134590630591</v>
      </c>
      <c r="Q259" s="122">
        <f t="shared" si="32"/>
        <v>11528.140999708236</v>
      </c>
      <c r="R259" s="122">
        <f t="shared" si="32"/>
        <v>11528.140999708236</v>
      </c>
      <c r="S259" s="122">
        <f t="shared" si="32"/>
        <v>11340.027315399011</v>
      </c>
    </row>
    <row r="260" spans="5:19">
      <c r="E260" t="s">
        <v>295</v>
      </c>
      <c r="F260" s="122">
        <f>F219-F257-F258-F259</f>
        <v>21467.751083267249</v>
      </c>
      <c r="G260" s="122">
        <f t="shared" ref="G260:S260" si="33">G219-G257-G258-G259</f>
        <v>20445.477222159287</v>
      </c>
      <c r="H260" s="122">
        <f t="shared" si="33"/>
        <v>23512.298805483169</v>
      </c>
      <c r="I260" s="122">
        <f t="shared" si="33"/>
        <v>21524.0544241268</v>
      </c>
      <c r="J260" s="122">
        <f t="shared" si="33"/>
        <v>22549.009396704263</v>
      </c>
      <c r="K260" s="122">
        <f t="shared" si="33"/>
        <v>22549.009396704263</v>
      </c>
      <c r="L260" s="122">
        <f t="shared" si="33"/>
        <v>22007.93338807418</v>
      </c>
      <c r="M260" s="122">
        <f t="shared" si="33"/>
        <v>22206.452045541344</v>
      </c>
      <c r="N260" s="122">
        <f t="shared" si="33"/>
        <v>24321.352240354798</v>
      </c>
      <c r="O260" s="122">
        <f t="shared" si="33"/>
        <v>23263.902142948067</v>
      </c>
      <c r="P260" s="122">
        <f t="shared" si="33"/>
        <v>22735.91158429594</v>
      </c>
      <c r="Q260" s="122">
        <f t="shared" si="33"/>
        <v>23818.574040690975</v>
      </c>
      <c r="R260" s="122">
        <f t="shared" si="33"/>
        <v>23818.574040690975</v>
      </c>
      <c r="S260" s="122">
        <f t="shared" si="33"/>
        <v>23360.794349087002</v>
      </c>
    </row>
    <row r="262" spans="5:19">
      <c r="F262" s="122">
        <f t="shared" ref="F262:K262" si="34">SUM(F257:F258,F260)</f>
        <v>21527.860549327172</v>
      </c>
      <c r="G262" s="122">
        <f t="shared" si="34"/>
        <v>20502.724332692545</v>
      </c>
      <c r="H262" s="122">
        <f t="shared" si="34"/>
        <v>23578.13298259642</v>
      </c>
      <c r="I262" s="122">
        <f t="shared" si="34"/>
        <v>21583.656127973121</v>
      </c>
      <c r="J262" s="122">
        <f t="shared" si="34"/>
        <v>22611.449276924221</v>
      </c>
      <c r="K262" s="122">
        <f t="shared" si="34"/>
        <v>22611.449276924221</v>
      </c>
      <c r="M262" s="122">
        <f t="shared" ref="M262:R262" si="35">SUM(M257:M258,M260)</f>
        <v>22267.607344879136</v>
      </c>
      <c r="N262" s="122">
        <f t="shared" si="35"/>
        <v>24388.331853915239</v>
      </c>
      <c r="O262" s="122">
        <f t="shared" si="35"/>
        <v>23327.969599397184</v>
      </c>
      <c r="P262" s="122">
        <f t="shared" si="35"/>
        <v>22798.446452469907</v>
      </c>
      <c r="Q262" s="122">
        <f t="shared" si="35"/>
        <v>23884.08675973037</v>
      </c>
      <c r="R262" s="122">
        <f t="shared" si="35"/>
        <v>23884.08675973037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6CB4-96D8-4931-9063-02B657D26E17}">
  <sheetPr>
    <tabColor theme="1"/>
  </sheetPr>
  <dimension ref="A1:AL75"/>
  <sheetViews>
    <sheetView showGridLines="0" zoomScale="70" zoomScaleNormal="7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F1" sqref="F1:F1048576"/>
    </sheetView>
  </sheetViews>
  <sheetFormatPr defaultColWidth="9.1796875" defaultRowHeight="14.5"/>
  <cols>
    <col min="1" max="1" width="3" style="1" customWidth="1"/>
    <col min="2" max="2" width="9.453125" style="1" bestFit="1" customWidth="1"/>
    <col min="3" max="5" width="9.1796875" style="1"/>
    <col min="6" max="6" width="2.7265625" style="1" customWidth="1"/>
    <col min="7" max="7" width="9.1796875" style="1" customWidth="1"/>
    <col min="8" max="8" width="10.54296875" style="1" bestFit="1" customWidth="1"/>
    <col min="9" max="9" width="11.26953125" style="1" customWidth="1"/>
    <col min="10" max="10" width="11.26953125" style="20" customWidth="1"/>
    <col min="11" max="12" width="11.26953125" style="1" customWidth="1"/>
    <col min="13" max="13" width="11.26953125" style="20" customWidth="1"/>
    <col min="14" max="15" width="11.26953125" style="1" customWidth="1"/>
    <col min="16" max="16" width="11.26953125" style="20" customWidth="1"/>
    <col min="17" max="18" width="11.26953125" style="1" customWidth="1"/>
    <col min="19" max="19" width="11.26953125" style="20" customWidth="1"/>
    <col min="20" max="21" width="11.26953125" style="1" customWidth="1"/>
    <col min="22" max="22" width="0.453125" style="159" customWidth="1"/>
    <col min="23" max="23" width="9.1796875" style="1" customWidth="1"/>
    <col min="24" max="24" width="10.81640625" style="1" bestFit="1" customWidth="1"/>
    <col min="25" max="25" width="9.54296875" style="1" bestFit="1" customWidth="1"/>
    <col min="26" max="26" width="9.54296875" style="20" bestFit="1" customWidth="1"/>
    <col min="27" max="28" width="9.54296875" style="1" bestFit="1" customWidth="1"/>
    <col min="29" max="29" width="9.54296875" style="20" bestFit="1" customWidth="1"/>
    <col min="30" max="31" width="9.54296875" style="1" bestFit="1" customWidth="1"/>
    <col min="32" max="32" width="9.54296875" style="20" bestFit="1" customWidth="1"/>
    <col min="33" max="34" width="9.54296875" style="1" bestFit="1" customWidth="1"/>
    <col min="35" max="35" width="9.54296875" style="20" bestFit="1" customWidth="1"/>
    <col min="36" max="36" width="9.54296875" style="1" bestFit="1" customWidth="1"/>
    <col min="37" max="37" width="9.1796875" style="38"/>
    <col min="38" max="16384" width="9.1796875" style="1"/>
  </cols>
  <sheetData>
    <row r="1" spans="1:38" ht="23.5">
      <c r="A1" s="16"/>
      <c r="E1" s="38"/>
      <c r="G1" s="16" t="s">
        <v>296</v>
      </c>
      <c r="J1" s="1"/>
      <c r="K1" s="20"/>
      <c r="M1" s="1"/>
      <c r="N1" s="20" t="s">
        <v>297</v>
      </c>
      <c r="P1" s="1"/>
      <c r="Q1" s="20"/>
      <c r="R1" s="15" t="s">
        <v>298</v>
      </c>
      <c r="S1" s="14"/>
      <c r="T1" s="20"/>
      <c r="W1" s="16" t="s">
        <v>296</v>
      </c>
      <c r="Z1" s="1"/>
      <c r="AA1" s="20"/>
      <c r="AC1" s="1"/>
      <c r="AD1" s="145" t="s">
        <v>297</v>
      </c>
      <c r="AF1" s="1"/>
      <c r="AG1" s="20"/>
      <c r="AH1" s="15" t="s">
        <v>298</v>
      </c>
      <c r="AI1" s="185"/>
      <c r="AJ1" s="20"/>
      <c r="AK1" s="15" t="s">
        <v>60</v>
      </c>
      <c r="AL1" s="184"/>
    </row>
    <row r="2" spans="1:38" ht="23.5">
      <c r="A2" s="16"/>
      <c r="E2" s="38" t="s">
        <v>299</v>
      </c>
      <c r="G2" s="16"/>
      <c r="J2" s="1"/>
      <c r="K2" s="20"/>
      <c r="M2" s="1"/>
      <c r="N2" s="20"/>
      <c r="P2" s="1"/>
      <c r="Q2" s="20"/>
      <c r="R2" s="15" t="s">
        <v>48</v>
      </c>
      <c r="S2" s="14"/>
      <c r="T2" s="20"/>
      <c r="W2" s="16"/>
      <c r="Z2" s="1"/>
      <c r="AA2" s="20"/>
      <c r="AC2" s="1"/>
      <c r="AD2" s="20"/>
      <c r="AF2" s="1"/>
      <c r="AG2" s="20"/>
      <c r="AH2" s="15" t="s">
        <v>61</v>
      </c>
      <c r="AI2" s="184"/>
      <c r="AJ2" s="20"/>
    </row>
    <row r="3" spans="1:38">
      <c r="B3" s="27" t="s">
        <v>49</v>
      </c>
      <c r="C3" s="27" t="s">
        <v>6</v>
      </c>
      <c r="D3" s="27" t="s">
        <v>7</v>
      </c>
      <c r="E3" s="27" t="s">
        <v>5</v>
      </c>
      <c r="G3" s="1" t="s">
        <v>300</v>
      </c>
      <c r="J3" s="1"/>
      <c r="K3" s="20"/>
      <c r="M3" s="1"/>
      <c r="N3" s="20"/>
      <c r="P3" s="1"/>
      <c r="Q3" s="216" t="s">
        <v>301</v>
      </c>
      <c r="R3" s="216"/>
      <c r="S3" s="216"/>
      <c r="T3" s="216"/>
      <c r="W3" s="1" t="s">
        <v>302</v>
      </c>
      <c r="Y3" s="179"/>
      <c r="Z3" s="179"/>
      <c r="AA3" s="20"/>
      <c r="AC3" s="1"/>
      <c r="AD3" s="20"/>
      <c r="AF3" s="1"/>
      <c r="AH3" s="216" t="s">
        <v>301</v>
      </c>
      <c r="AI3" s="216"/>
      <c r="AJ3" s="216"/>
      <c r="AK3" s="216"/>
    </row>
    <row r="4" spans="1:38" ht="15" thickBot="1">
      <c r="B4" s="18" t="s">
        <v>10</v>
      </c>
      <c r="C4" s="18" t="s">
        <v>10</v>
      </c>
      <c r="D4" s="18" t="s">
        <v>10</v>
      </c>
      <c r="E4" s="134">
        <v>45536</v>
      </c>
      <c r="G4" s="13" t="s">
        <v>303</v>
      </c>
      <c r="H4" s="45" t="s">
        <v>13</v>
      </c>
      <c r="I4" s="45" t="s">
        <v>14</v>
      </c>
      <c r="J4" s="45" t="s">
        <v>15</v>
      </c>
      <c r="K4" s="45" t="s">
        <v>16</v>
      </c>
      <c r="L4" s="45" t="s">
        <v>17</v>
      </c>
      <c r="M4" s="45" t="s">
        <v>18</v>
      </c>
      <c r="N4" s="45" t="s">
        <v>19</v>
      </c>
      <c r="O4" s="45" t="s">
        <v>20</v>
      </c>
      <c r="P4" s="45" t="s">
        <v>21</v>
      </c>
      <c r="Q4" s="45" t="s">
        <v>22</v>
      </c>
      <c r="R4" s="45" t="s">
        <v>23</v>
      </c>
      <c r="S4" s="45" t="s">
        <v>24</v>
      </c>
      <c r="T4" s="45" t="s">
        <v>10</v>
      </c>
      <c r="W4" s="13" t="s">
        <v>52</v>
      </c>
      <c r="X4" s="13" t="s">
        <v>13</v>
      </c>
      <c r="Y4" s="13" t="s">
        <v>14</v>
      </c>
      <c r="Z4" s="13" t="s">
        <v>15</v>
      </c>
      <c r="AA4" s="45" t="s">
        <v>16</v>
      </c>
      <c r="AB4" s="13" t="s">
        <v>17</v>
      </c>
      <c r="AC4" s="13" t="s">
        <v>18</v>
      </c>
      <c r="AD4" s="45" t="s">
        <v>19</v>
      </c>
      <c r="AE4" s="13" t="s">
        <v>20</v>
      </c>
      <c r="AF4" s="13" t="s">
        <v>21</v>
      </c>
      <c r="AG4" s="21" t="s">
        <v>22</v>
      </c>
      <c r="AH4" s="13" t="s">
        <v>23</v>
      </c>
      <c r="AI4" s="13" t="s">
        <v>24</v>
      </c>
      <c r="AJ4" s="21" t="s">
        <v>10</v>
      </c>
    </row>
    <row r="5" spans="1:38" ht="15" thickTop="1">
      <c r="B5" s="123">
        <v>72.08</v>
      </c>
      <c r="C5" s="124">
        <v>78.650000000000006</v>
      </c>
      <c r="D5" s="189">
        <v>74.97</v>
      </c>
      <c r="E5" s="125">
        <v>87.67</v>
      </c>
      <c r="G5" s="9"/>
      <c r="H5" s="29" t="s">
        <v>26</v>
      </c>
      <c r="I5" s="140">
        <v>726.19924307692554</v>
      </c>
      <c r="J5" s="140">
        <v>691.61832673992888</v>
      </c>
      <c r="K5" s="140">
        <v>795.36107575091842</v>
      </c>
      <c r="L5" s="140">
        <v>860.96054764928454</v>
      </c>
      <c r="M5" s="140">
        <v>901.95866896591724</v>
      </c>
      <c r="N5" s="140">
        <v>901.95866896591724</v>
      </c>
      <c r="O5" s="140">
        <v>947.40054672575889</v>
      </c>
      <c r="P5" s="140">
        <v>1037.6291702234503</v>
      </c>
      <c r="Q5" s="140">
        <v>992.51485847460447</v>
      </c>
      <c r="R5" s="140">
        <v>908.8667710849727</v>
      </c>
      <c r="S5" s="140">
        <v>952.14614113663799</v>
      </c>
      <c r="T5" s="140">
        <v>952.14614113663799</v>
      </c>
      <c r="W5" s="12"/>
      <c r="X5" s="11" t="s">
        <v>26</v>
      </c>
      <c r="Y5" s="201">
        <v>85</v>
      </c>
      <c r="Z5" s="201">
        <v>85.5</v>
      </c>
      <c r="AA5" s="201">
        <v>86</v>
      </c>
      <c r="AB5" s="201">
        <v>86.5</v>
      </c>
      <c r="AC5" s="201">
        <v>87</v>
      </c>
      <c r="AD5" s="201">
        <v>87.5</v>
      </c>
      <c r="AE5" s="201">
        <v>88</v>
      </c>
      <c r="AF5" s="201">
        <v>88.5</v>
      </c>
      <c r="AG5" s="201">
        <v>89</v>
      </c>
      <c r="AH5" s="201">
        <v>89.5</v>
      </c>
      <c r="AI5" s="142">
        <v>89.5</v>
      </c>
      <c r="AJ5" s="142">
        <v>90</v>
      </c>
    </row>
    <row r="6" spans="1:38">
      <c r="B6" s="126">
        <v>89.84</v>
      </c>
      <c r="C6" s="127">
        <v>91.3</v>
      </c>
      <c r="D6" s="190">
        <v>93.09</v>
      </c>
      <c r="E6" s="128">
        <v>89.64</v>
      </c>
      <c r="G6" s="9"/>
      <c r="H6" s="8" t="s">
        <v>27</v>
      </c>
      <c r="I6" s="140">
        <v>14009.892895454594</v>
      </c>
      <c r="J6" s="140">
        <v>13342.755138528191</v>
      </c>
      <c r="K6" s="140">
        <v>15344.168409307416</v>
      </c>
      <c r="L6" s="140">
        <v>16584.094861803824</v>
      </c>
      <c r="M6" s="140">
        <v>17373.813664746842</v>
      </c>
      <c r="N6" s="140">
        <v>17373.813664746842</v>
      </c>
      <c r="O6" s="140">
        <v>18417.174102587505</v>
      </c>
      <c r="P6" s="140">
        <v>20171.190683786313</v>
      </c>
      <c r="Q6" s="140">
        <v>19294.182393186918</v>
      </c>
      <c r="R6" s="140">
        <v>17648.208033449231</v>
      </c>
      <c r="S6" s="140">
        <v>18488.598892184884</v>
      </c>
      <c r="T6" s="140">
        <v>18488.598892184884</v>
      </c>
      <c r="U6" s="39"/>
      <c r="V6" s="160"/>
      <c r="W6" s="9"/>
      <c r="X6" s="8" t="s">
        <v>27</v>
      </c>
      <c r="Y6" s="202">
        <v>88.727582497337536</v>
      </c>
      <c r="Z6" s="202">
        <v>89.227890712632572</v>
      </c>
      <c r="AA6" s="202">
        <v>89.728195394116952</v>
      </c>
      <c r="AB6" s="202">
        <v>90.225993673679284</v>
      </c>
      <c r="AC6" s="202">
        <v>90.505626393218748</v>
      </c>
      <c r="AD6" s="202">
        <v>90.858551598957618</v>
      </c>
      <c r="AE6" s="202">
        <v>91.213848228391825</v>
      </c>
      <c r="AF6" s="202">
        <v>91.492267960102723</v>
      </c>
      <c r="AG6" s="202">
        <v>91.99245111156722</v>
      </c>
      <c r="AH6" s="143">
        <v>92.344462096353169</v>
      </c>
      <c r="AI6" s="143">
        <v>92.547921554733776</v>
      </c>
      <c r="AJ6" s="143">
        <v>92.878145682005552</v>
      </c>
    </row>
    <row r="7" spans="1:38">
      <c r="B7" s="126">
        <v>87.94</v>
      </c>
      <c r="C7" s="127">
        <v>89.52</v>
      </c>
      <c r="D7" s="190">
        <v>85.81</v>
      </c>
      <c r="E7" s="128">
        <v>93.37</v>
      </c>
      <c r="G7" s="9"/>
      <c r="H7" s="8" t="s">
        <v>28</v>
      </c>
      <c r="I7" s="140">
        <v>6619.7006520166269</v>
      </c>
      <c r="J7" s="140">
        <v>6304.4768114444041</v>
      </c>
      <c r="K7" s="140">
        <v>7250.1483331610671</v>
      </c>
      <c r="L7" s="140">
        <v>6534.8163867887397</v>
      </c>
      <c r="M7" s="140">
        <v>6845.9981194929642</v>
      </c>
      <c r="N7" s="140">
        <v>6845.9981194929642</v>
      </c>
      <c r="O7" s="140">
        <v>6979.9337553495188</v>
      </c>
      <c r="P7" s="140">
        <v>7644.6893510970913</v>
      </c>
      <c r="Q7" s="140">
        <v>7312.311553223306</v>
      </c>
      <c r="R7" s="140">
        <v>6717.0454635530114</v>
      </c>
      <c r="S7" s="140">
        <v>7036.9047713412492</v>
      </c>
      <c r="T7" s="140">
        <v>7036.9047713412492</v>
      </c>
      <c r="U7" s="39"/>
      <c r="V7" s="160"/>
      <c r="W7" s="9"/>
      <c r="X7" s="8" t="s">
        <v>28</v>
      </c>
      <c r="Y7" s="202">
        <v>92</v>
      </c>
      <c r="Z7" s="202">
        <v>92.1</v>
      </c>
      <c r="AA7" s="202">
        <v>92.3</v>
      </c>
      <c r="AB7" s="202">
        <v>92.5</v>
      </c>
      <c r="AC7" s="202">
        <v>92.6</v>
      </c>
      <c r="AD7" s="202">
        <v>92.7</v>
      </c>
      <c r="AE7" s="202">
        <v>92.8</v>
      </c>
      <c r="AF7" s="202">
        <v>92.9</v>
      </c>
      <c r="AG7" s="202">
        <v>93</v>
      </c>
      <c r="AH7" s="202">
        <v>93.3</v>
      </c>
      <c r="AI7" s="202">
        <v>93.5</v>
      </c>
      <c r="AJ7" s="202">
        <v>94</v>
      </c>
    </row>
    <row r="8" spans="1:38">
      <c r="B8" s="126">
        <v>89.51</v>
      </c>
      <c r="C8" s="129">
        <v>88.11</v>
      </c>
      <c r="D8" s="191">
        <v>85.6</v>
      </c>
      <c r="E8" s="128">
        <v>89.01</v>
      </c>
      <c r="G8" s="9"/>
      <c r="H8" s="8" t="s">
        <v>29</v>
      </c>
      <c r="I8" s="140">
        <v>481.39602451215256</v>
      </c>
      <c r="J8" s="140">
        <v>458.47240429728811</v>
      </c>
      <c r="K8" s="140">
        <v>527.24326494188131</v>
      </c>
      <c r="L8" s="140">
        <v>570.03184805975116</v>
      </c>
      <c r="M8" s="140">
        <v>597.17622177688224</v>
      </c>
      <c r="N8" s="140">
        <v>597.17622177688224</v>
      </c>
      <c r="O8" s="140">
        <v>626.79681631003359</v>
      </c>
      <c r="P8" s="140">
        <v>686.49175119670349</v>
      </c>
      <c r="Q8" s="140">
        <v>656.64428375336854</v>
      </c>
      <c r="R8" s="140">
        <v>601.60317513179609</v>
      </c>
      <c r="S8" s="140">
        <v>630.25094537616735</v>
      </c>
      <c r="T8" s="140">
        <v>630.25094537616735</v>
      </c>
      <c r="W8" s="9"/>
      <c r="X8" s="8" t="s">
        <v>29</v>
      </c>
      <c r="Y8" s="202">
        <v>88</v>
      </c>
      <c r="Z8" s="202">
        <v>88.2</v>
      </c>
      <c r="AA8" s="202">
        <v>88.3</v>
      </c>
      <c r="AB8" s="202">
        <v>88.5</v>
      </c>
      <c r="AC8" s="202">
        <v>88.5</v>
      </c>
      <c r="AD8" s="202">
        <v>88.6</v>
      </c>
      <c r="AE8" s="202">
        <v>88.7</v>
      </c>
      <c r="AF8" s="202">
        <v>88.8</v>
      </c>
      <c r="AG8" s="202">
        <v>89</v>
      </c>
      <c r="AH8" s="202">
        <v>89.3</v>
      </c>
      <c r="AI8" s="202">
        <v>89.5</v>
      </c>
      <c r="AJ8" s="143">
        <v>90</v>
      </c>
    </row>
    <row r="9" spans="1:38">
      <c r="B9" s="126">
        <v>92.42</v>
      </c>
      <c r="C9" s="129">
        <v>86.56</v>
      </c>
      <c r="D9" s="191">
        <v>92.14</v>
      </c>
      <c r="E9" s="128">
        <v>91.87</v>
      </c>
      <c r="G9" s="9"/>
      <c r="H9" s="8" t="s">
        <v>30</v>
      </c>
      <c r="I9" s="140">
        <v>3257.6274496369833</v>
      </c>
      <c r="J9" s="140">
        <v>3102.502332987603</v>
      </c>
      <c r="K9" s="140">
        <v>3567.877682935743</v>
      </c>
      <c r="L9" s="140">
        <v>3544.8689114631889</v>
      </c>
      <c r="M9" s="140">
        <v>3713.6721929614364</v>
      </c>
      <c r="N9" s="140">
        <v>3713.6721929614364</v>
      </c>
      <c r="O9" s="140">
        <v>3747.6974499652133</v>
      </c>
      <c r="P9" s="140">
        <v>4104.6210166285673</v>
      </c>
      <c r="Q9" s="140">
        <v>3926.1592332968908</v>
      </c>
      <c r="R9" s="140">
        <v>7016.3565888789426</v>
      </c>
      <c r="S9" s="140">
        <v>7350.4688073969874</v>
      </c>
      <c r="T9" s="140">
        <v>7350.4688073969874</v>
      </c>
      <c r="U9" s="39"/>
      <c r="V9" s="160"/>
      <c r="W9" s="9"/>
      <c r="X9" s="8" t="s">
        <v>30</v>
      </c>
      <c r="Y9" s="202">
        <v>89.466637314318248</v>
      </c>
      <c r="Z9" s="202">
        <v>89.660734630244804</v>
      </c>
      <c r="AA9" s="202">
        <v>89.807845159380932</v>
      </c>
      <c r="AB9" s="202">
        <v>89.931053502153389</v>
      </c>
      <c r="AC9" s="202">
        <v>90.073623433285931</v>
      </c>
      <c r="AD9" s="202">
        <v>90.174261218712189</v>
      </c>
      <c r="AE9" s="202">
        <v>90.331579244562064</v>
      </c>
      <c r="AF9" s="202">
        <v>90.532155662917916</v>
      </c>
      <c r="AG9" s="202">
        <v>90.671969498435928</v>
      </c>
      <c r="AH9" s="202">
        <v>89.766958937376145</v>
      </c>
      <c r="AI9" s="202">
        <v>90.09327995006376</v>
      </c>
      <c r="AJ9" s="202">
        <v>90.837097452960847</v>
      </c>
      <c r="AK9" s="186" t="s">
        <v>53</v>
      </c>
    </row>
    <row r="10" spans="1:38">
      <c r="B10" s="126">
        <v>83.03</v>
      </c>
      <c r="C10" s="129">
        <v>83.51</v>
      </c>
      <c r="D10" s="191">
        <v>81.650000000000006</v>
      </c>
      <c r="E10" s="128">
        <v>80.53</v>
      </c>
      <c r="G10" s="9"/>
      <c r="H10" s="8" t="s">
        <v>31</v>
      </c>
      <c r="I10" s="140">
        <v>507.8769570402676</v>
      </c>
      <c r="J10" s="140">
        <v>483.69234003835004</v>
      </c>
      <c r="K10" s="140">
        <v>556.2461910441026</v>
      </c>
      <c r="L10" s="140">
        <v>512.82745239760413</v>
      </c>
      <c r="M10" s="140">
        <v>537.24780727368056</v>
      </c>
      <c r="N10" s="140">
        <v>537.24780727368056</v>
      </c>
      <c r="O10" s="140">
        <v>534.93427759080396</v>
      </c>
      <c r="P10" s="140">
        <v>585.88039926611862</v>
      </c>
      <c r="Q10" s="140">
        <v>560.40733842846134</v>
      </c>
      <c r="R10" s="140">
        <v>520.53436658331032</v>
      </c>
      <c r="S10" s="140">
        <v>545.32171737299177</v>
      </c>
      <c r="T10" s="140">
        <v>545.32171737299177</v>
      </c>
      <c r="W10" s="9"/>
      <c r="X10" s="8" t="s">
        <v>31</v>
      </c>
      <c r="Y10" s="202">
        <v>80</v>
      </c>
      <c r="Z10" s="202">
        <v>80.3</v>
      </c>
      <c r="AA10" s="202">
        <v>80.5</v>
      </c>
      <c r="AB10" s="202">
        <v>80.7</v>
      </c>
      <c r="AC10" s="202">
        <v>80.900000000000006</v>
      </c>
      <c r="AD10" s="202">
        <v>81</v>
      </c>
      <c r="AE10" s="202">
        <v>81.3</v>
      </c>
      <c r="AF10" s="202">
        <v>81.5</v>
      </c>
      <c r="AG10" s="202">
        <v>81.7</v>
      </c>
      <c r="AH10" s="202">
        <v>82</v>
      </c>
      <c r="AI10" s="202">
        <v>82.5</v>
      </c>
      <c r="AJ10" s="202">
        <v>83</v>
      </c>
    </row>
    <row r="11" spans="1:38">
      <c r="B11" s="126">
        <v>94.02</v>
      </c>
      <c r="C11" s="129">
        <v>94.54</v>
      </c>
      <c r="D11" s="191">
        <v>95.42</v>
      </c>
      <c r="E11" s="128">
        <v>94.48</v>
      </c>
      <c r="G11" s="9"/>
      <c r="H11" s="8" t="s">
        <v>32</v>
      </c>
      <c r="I11" s="140">
        <v>14484.2588338883</v>
      </c>
      <c r="J11" s="140">
        <v>13794.532222750764</v>
      </c>
      <c r="K11" s="140">
        <v>15863.712056163378</v>
      </c>
      <c r="L11" s="140">
        <v>14641.977972445024</v>
      </c>
      <c r="M11" s="140">
        <v>15339.215018751929</v>
      </c>
      <c r="N11" s="140">
        <v>15339.215018751929</v>
      </c>
      <c r="O11" s="140">
        <v>15397.711601730289</v>
      </c>
      <c r="P11" s="140">
        <v>16864.160325704604</v>
      </c>
      <c r="Q11" s="140">
        <v>16130.935963717446</v>
      </c>
      <c r="R11" s="140">
        <v>15368.838127946739</v>
      </c>
      <c r="S11" s="140">
        <v>16100.687562610872</v>
      </c>
      <c r="T11" s="140">
        <v>16100.687562610872</v>
      </c>
      <c r="W11" s="9"/>
      <c r="X11" s="8" t="s">
        <v>32</v>
      </c>
      <c r="Y11" s="202">
        <v>93.5</v>
      </c>
      <c r="Z11" s="202">
        <v>93.5</v>
      </c>
      <c r="AA11" s="202">
        <v>93.5</v>
      </c>
      <c r="AB11" s="202">
        <v>93.6</v>
      </c>
      <c r="AC11" s="202">
        <v>93.6</v>
      </c>
      <c r="AD11" s="202">
        <v>93.7</v>
      </c>
      <c r="AE11" s="202">
        <v>93.7</v>
      </c>
      <c r="AF11" s="202">
        <v>93.8</v>
      </c>
      <c r="AG11" s="202">
        <v>94</v>
      </c>
      <c r="AH11" s="202">
        <v>94.5</v>
      </c>
      <c r="AI11" s="202">
        <v>94.8</v>
      </c>
      <c r="AJ11" s="202">
        <v>95</v>
      </c>
    </row>
    <row r="12" spans="1:38">
      <c r="B12" s="126">
        <v>94.44</v>
      </c>
      <c r="C12" s="129">
        <v>88.23</v>
      </c>
      <c r="D12" s="191">
        <v>91.17</v>
      </c>
      <c r="E12" s="128">
        <v>92.15</v>
      </c>
      <c r="G12" s="9"/>
      <c r="H12" s="8" t="s">
        <v>33</v>
      </c>
      <c r="I12" s="140">
        <v>7910.3250610156301</v>
      </c>
      <c r="J12" s="140">
        <v>7533.6429152529799</v>
      </c>
      <c r="K12" s="140">
        <v>8663.6893525409268</v>
      </c>
      <c r="L12" s="140">
        <v>8205.3352615120839</v>
      </c>
      <c r="M12" s="140">
        <v>8596.0655120602787</v>
      </c>
      <c r="N12" s="140">
        <v>8596.0655120602787</v>
      </c>
      <c r="O12" s="140">
        <v>8994.7994998051581</v>
      </c>
      <c r="P12" s="140">
        <v>9851.4470712151706</v>
      </c>
      <c r="Q12" s="140">
        <v>9423.1232855101589</v>
      </c>
      <c r="R12" s="140">
        <v>8749.1840851617653</v>
      </c>
      <c r="S12" s="140">
        <v>9165.8118987408961</v>
      </c>
      <c r="T12" s="140">
        <v>9165.8118987408961</v>
      </c>
      <c r="U12" s="39"/>
      <c r="V12" s="160"/>
      <c r="W12" s="9"/>
      <c r="X12" s="8" t="s">
        <v>33</v>
      </c>
      <c r="Y12" s="143">
        <v>91.1</v>
      </c>
      <c r="Z12" s="143">
        <v>91.1</v>
      </c>
      <c r="AA12" s="143">
        <v>91.2</v>
      </c>
      <c r="AB12" s="143">
        <v>91.4</v>
      </c>
      <c r="AC12" s="143">
        <v>91.6</v>
      </c>
      <c r="AD12" s="143">
        <v>91.8</v>
      </c>
      <c r="AE12" s="143">
        <v>92</v>
      </c>
      <c r="AF12" s="143">
        <v>92.4</v>
      </c>
      <c r="AG12" s="143">
        <v>92.5</v>
      </c>
      <c r="AH12" s="143">
        <v>92.6</v>
      </c>
      <c r="AI12" s="143">
        <v>92.8</v>
      </c>
      <c r="AJ12" s="143">
        <v>93</v>
      </c>
    </row>
    <row r="13" spans="1:38">
      <c r="B13" s="130">
        <v>94.73</v>
      </c>
      <c r="C13" s="129">
        <v>93.32</v>
      </c>
      <c r="D13" s="191">
        <v>94.33</v>
      </c>
      <c r="E13" s="128">
        <v>93.89</v>
      </c>
      <c r="G13" s="9"/>
      <c r="H13" s="8" t="s">
        <v>35</v>
      </c>
      <c r="I13" s="140">
        <v>272.99134637542483</v>
      </c>
      <c r="J13" s="140">
        <v>259.99175845278558</v>
      </c>
      <c r="K13" s="140">
        <v>298.99052222070338</v>
      </c>
      <c r="L13" s="140">
        <v>282.52606125933346</v>
      </c>
      <c r="M13" s="140">
        <v>295.97968322406359</v>
      </c>
      <c r="N13" s="140">
        <v>295.97968322406359</v>
      </c>
      <c r="O13" s="140">
        <v>310.75694765265752</v>
      </c>
      <c r="P13" s="140">
        <v>340.35284742910113</v>
      </c>
      <c r="Q13" s="140">
        <v>325.55489754087927</v>
      </c>
      <c r="R13" s="140">
        <v>301.80324201916784</v>
      </c>
      <c r="S13" s="140">
        <v>316.17482497246158</v>
      </c>
      <c r="T13" s="140">
        <v>316.17482497246158</v>
      </c>
      <c r="U13" s="39"/>
      <c r="V13" s="160"/>
      <c r="W13" s="9"/>
      <c r="X13" s="8" t="s">
        <v>35</v>
      </c>
      <c r="Y13" s="143">
        <v>93</v>
      </c>
      <c r="Z13" s="143">
        <v>93</v>
      </c>
      <c r="AA13" s="143">
        <v>93</v>
      </c>
      <c r="AB13" s="143">
        <v>93</v>
      </c>
      <c r="AC13" s="143">
        <v>93</v>
      </c>
      <c r="AD13" s="143">
        <v>93</v>
      </c>
      <c r="AE13" s="143">
        <v>93</v>
      </c>
      <c r="AF13" s="143">
        <v>93</v>
      </c>
      <c r="AG13" s="143">
        <v>93</v>
      </c>
      <c r="AH13" s="143">
        <v>93</v>
      </c>
      <c r="AI13" s="143">
        <v>93</v>
      </c>
      <c r="AJ13" s="143">
        <v>93</v>
      </c>
    </row>
    <row r="14" spans="1:38">
      <c r="B14" s="126">
        <v>93.77</v>
      </c>
      <c r="C14" s="129">
        <v>94.74</v>
      </c>
      <c r="D14" s="191">
        <v>93.56</v>
      </c>
      <c r="E14" s="194">
        <v>94.11</v>
      </c>
      <c r="G14" s="9"/>
      <c r="H14" s="8" t="s">
        <v>37</v>
      </c>
      <c r="I14" s="140">
        <v>32232.662110215293</v>
      </c>
      <c r="J14" s="140">
        <v>30697.773438300272</v>
      </c>
      <c r="K14" s="140">
        <v>35302.439454045307</v>
      </c>
      <c r="L14" s="140">
        <v>33998.222399106766</v>
      </c>
      <c r="M14" s="140">
        <v>35617.185370492793</v>
      </c>
      <c r="N14" s="140">
        <v>35617.185370492793</v>
      </c>
      <c r="O14" s="140">
        <v>37305.213419644038</v>
      </c>
      <c r="P14" s="140">
        <v>40858.09088818157</v>
      </c>
      <c r="Q14" s="140">
        <v>39081.652153912823</v>
      </c>
      <c r="R14" s="140">
        <v>36156.188425441578</v>
      </c>
      <c r="S14" s="140">
        <v>37877.911683795945</v>
      </c>
      <c r="T14" s="140">
        <v>37877.911683795945</v>
      </c>
      <c r="U14" s="41"/>
      <c r="V14" s="161"/>
      <c r="W14" s="9"/>
      <c r="X14" s="8" t="s">
        <v>37</v>
      </c>
      <c r="Y14" s="200">
        <v>93.5</v>
      </c>
      <c r="Z14" s="200">
        <v>93.5</v>
      </c>
      <c r="AA14" s="200">
        <v>93.5</v>
      </c>
      <c r="AB14" s="200">
        <v>93.6</v>
      </c>
      <c r="AC14" s="200">
        <v>93.6</v>
      </c>
      <c r="AD14" s="200">
        <v>93.7</v>
      </c>
      <c r="AE14" s="200">
        <v>93.8</v>
      </c>
      <c r="AF14" s="143">
        <v>94</v>
      </c>
      <c r="AG14" s="143">
        <v>94.1</v>
      </c>
      <c r="AH14" s="143">
        <v>94.3</v>
      </c>
      <c r="AI14" s="143">
        <v>94.4</v>
      </c>
      <c r="AJ14" s="143">
        <v>94.5</v>
      </c>
      <c r="AK14" s="144" t="s">
        <v>54</v>
      </c>
    </row>
    <row r="15" spans="1:38">
      <c r="B15" s="131">
        <v>94.1</v>
      </c>
      <c r="C15" s="132">
        <v>92.85</v>
      </c>
      <c r="D15" s="192">
        <v>94</v>
      </c>
      <c r="E15" s="133">
        <v>92.51</v>
      </c>
      <c r="G15" s="28"/>
      <c r="H15" s="5" t="s">
        <v>38</v>
      </c>
      <c r="I15" s="140">
        <v>31673.484371051887</v>
      </c>
      <c r="J15" s="140">
        <v>30165.223210525619</v>
      </c>
      <c r="K15" s="140">
        <v>34690.006692104456</v>
      </c>
      <c r="L15" s="140">
        <v>36766.005666742727</v>
      </c>
      <c r="M15" s="140">
        <v>38516.76784134953</v>
      </c>
      <c r="N15" s="140">
        <v>38516.76784134953</v>
      </c>
      <c r="O15" s="140">
        <v>40562.499771991228</v>
      </c>
      <c r="P15" s="140">
        <v>44425.59498837134</v>
      </c>
      <c r="Q15" s="140">
        <v>42494.047380181277</v>
      </c>
      <c r="R15" s="140">
        <v>34338.938399145634</v>
      </c>
      <c r="S15" s="140">
        <v>35974.125941962091</v>
      </c>
      <c r="T15" s="140">
        <v>35974.125941962091</v>
      </c>
      <c r="U15" s="41"/>
      <c r="V15" s="161"/>
      <c r="W15" s="6"/>
      <c r="X15" s="5" t="s">
        <v>38</v>
      </c>
      <c r="Y15" s="188">
        <v>92.5</v>
      </c>
      <c r="Z15" s="188">
        <v>92.7</v>
      </c>
      <c r="AA15" s="202">
        <v>92.9</v>
      </c>
      <c r="AB15" s="202">
        <v>93.1</v>
      </c>
      <c r="AC15" s="202">
        <v>93.3</v>
      </c>
      <c r="AD15" s="202">
        <v>93.5</v>
      </c>
      <c r="AE15" s="202">
        <v>93.7</v>
      </c>
      <c r="AF15" s="202">
        <v>93.8</v>
      </c>
      <c r="AG15" s="143">
        <v>93.8</v>
      </c>
      <c r="AH15" s="143">
        <v>93.9</v>
      </c>
      <c r="AI15" s="143">
        <v>93.9</v>
      </c>
      <c r="AJ15" s="143">
        <v>94</v>
      </c>
    </row>
    <row r="16" spans="1:38">
      <c r="B16" s="137">
        <v>92.454733649000445</v>
      </c>
      <c r="C16" s="135">
        <v>91.34</v>
      </c>
      <c r="D16" s="193">
        <v>92.978025849404901</v>
      </c>
      <c r="E16" s="136">
        <v>92.626164545216781</v>
      </c>
      <c r="G16" s="30" t="s">
        <v>25</v>
      </c>
      <c r="H16" s="3" t="s">
        <v>39</v>
      </c>
      <c r="I16" s="141">
        <f>SUM(I5:I15)</f>
        <v>112176.4149442841</v>
      </c>
      <c r="J16" s="141">
        <f t="shared" ref="J16:T16" si="0">SUM(J5:J15)</f>
        <v>106834.68089931819</v>
      </c>
      <c r="K16" s="141">
        <f t="shared" si="0"/>
        <v>122859.88303421589</v>
      </c>
      <c r="L16" s="141">
        <f t="shared" si="0"/>
        <v>122501.66736922832</v>
      </c>
      <c r="M16" s="141">
        <f t="shared" si="0"/>
        <v>128335.0801010963</v>
      </c>
      <c r="N16" s="141">
        <f t="shared" si="0"/>
        <v>128335.0801010963</v>
      </c>
      <c r="O16" s="141">
        <f t="shared" si="0"/>
        <v>133824.9181893522</v>
      </c>
      <c r="P16" s="141">
        <f t="shared" si="0"/>
        <v>146570.14849310002</v>
      </c>
      <c r="Q16" s="141">
        <f t="shared" si="0"/>
        <v>140197.53334122614</v>
      </c>
      <c r="R16" s="141">
        <f t="shared" si="0"/>
        <v>128327.56667839616</v>
      </c>
      <c r="S16" s="141">
        <f t="shared" si="0"/>
        <v>134438.40318689117</v>
      </c>
      <c r="T16" s="141">
        <f t="shared" si="0"/>
        <v>134438.40318689117</v>
      </c>
      <c r="W16" s="3" t="s">
        <v>25</v>
      </c>
      <c r="X16" s="3" t="s">
        <v>39</v>
      </c>
      <c r="Y16" s="42">
        <v>92.064545128583958</v>
      </c>
      <c r="Z16" s="42">
        <v>92.205840033326453</v>
      </c>
      <c r="AA16" s="42">
        <v>92.357122672756446</v>
      </c>
      <c r="AB16" s="42">
        <v>92.523890577002604</v>
      </c>
      <c r="AC16" s="42">
        <v>92.65139434053485</v>
      </c>
      <c r="AD16" s="42">
        <v>92.826640762768307</v>
      </c>
      <c r="AE16" s="42">
        <v>92.993650517307529</v>
      </c>
      <c r="AF16" s="42">
        <v>93.173538327945693</v>
      </c>
      <c r="AG16" s="42">
        <v>93.316956952431241</v>
      </c>
      <c r="AH16" s="42">
        <v>93.398144757066461</v>
      </c>
      <c r="AI16" s="42">
        <v>93.536697025948513</v>
      </c>
      <c r="AJ16" s="42">
        <v>93.753184823129004</v>
      </c>
    </row>
    <row r="17" spans="2:36">
      <c r="I17" s="43"/>
      <c r="J17" s="1"/>
      <c r="K17" s="20"/>
      <c r="M17" s="1"/>
      <c r="N17" s="20"/>
      <c r="P17" s="1"/>
      <c r="Q17" s="20"/>
      <c r="S17" s="1"/>
      <c r="T17" s="44"/>
      <c r="Z17" s="1"/>
      <c r="AA17" s="20"/>
      <c r="AC17" s="1"/>
      <c r="AD17" s="20"/>
      <c r="AF17" s="1"/>
      <c r="AG17" s="20"/>
      <c r="AI17" s="1"/>
      <c r="AJ17" s="187" t="s">
        <v>304</v>
      </c>
    </row>
    <row r="18" spans="2:36">
      <c r="G18" s="1" t="s">
        <v>305</v>
      </c>
      <c r="J18" s="1"/>
      <c r="K18" s="20"/>
      <c r="M18" s="1"/>
      <c r="N18" s="20"/>
      <c r="P18" s="1"/>
      <c r="Q18" s="216" t="s">
        <v>301</v>
      </c>
      <c r="R18" s="216"/>
      <c r="S18" s="216"/>
      <c r="T18" s="216"/>
      <c r="W18" s="1" t="s">
        <v>302</v>
      </c>
      <c r="X18" s="38"/>
      <c r="Y18" s="162"/>
      <c r="Z18" s="1"/>
      <c r="AA18" s="20"/>
      <c r="AC18" s="1"/>
      <c r="AD18" s="20"/>
      <c r="AF18" s="1"/>
      <c r="AG18" s="20"/>
      <c r="AI18" s="1"/>
      <c r="AJ18" s="187"/>
    </row>
    <row r="19" spans="2:36" ht="15" thickBot="1">
      <c r="B19" s="147"/>
      <c r="C19" s="147"/>
      <c r="D19" s="147"/>
      <c r="E19" s="147"/>
      <c r="F19" s="147"/>
      <c r="G19" s="13" t="s">
        <v>303</v>
      </c>
      <c r="H19" s="45" t="s">
        <v>13</v>
      </c>
      <c r="I19" s="45" t="s">
        <v>14</v>
      </c>
      <c r="J19" s="45" t="s">
        <v>15</v>
      </c>
      <c r="K19" s="45" t="s">
        <v>16</v>
      </c>
      <c r="L19" s="45" t="s">
        <v>17</v>
      </c>
      <c r="M19" s="45" t="s">
        <v>18</v>
      </c>
      <c r="N19" s="45" t="s">
        <v>19</v>
      </c>
      <c r="O19" s="45" t="s">
        <v>20</v>
      </c>
      <c r="P19" s="45" t="s">
        <v>21</v>
      </c>
      <c r="Q19" s="45" t="s">
        <v>22</v>
      </c>
      <c r="R19" s="45" t="s">
        <v>23</v>
      </c>
      <c r="S19" s="45" t="s">
        <v>24</v>
      </c>
      <c r="T19" s="45" t="s">
        <v>10</v>
      </c>
      <c r="W19" s="3" t="s">
        <v>25</v>
      </c>
      <c r="X19" s="210" t="s">
        <v>39</v>
      </c>
      <c r="Y19" s="212">
        <f>I46</f>
        <v>92.064545128583958</v>
      </c>
      <c r="Z19" s="212">
        <f t="shared" ref="Z19:AJ19" si="1">J46</f>
        <v>92.205840033326453</v>
      </c>
      <c r="AA19" s="212">
        <f t="shared" si="1"/>
        <v>92.357122672756446</v>
      </c>
      <c r="AB19" s="212">
        <f t="shared" si="1"/>
        <v>92.523890577002604</v>
      </c>
      <c r="AC19" s="212">
        <f t="shared" si="1"/>
        <v>92.65139434053485</v>
      </c>
      <c r="AD19" s="212">
        <f t="shared" si="1"/>
        <v>92.826640762768307</v>
      </c>
      <c r="AE19" s="212">
        <f t="shared" si="1"/>
        <v>92.993650517307529</v>
      </c>
      <c r="AF19" s="212">
        <f t="shared" si="1"/>
        <v>93.173538327945693</v>
      </c>
      <c r="AG19" s="212">
        <f t="shared" si="1"/>
        <v>93.316956952431241</v>
      </c>
      <c r="AH19" s="212">
        <f t="shared" si="1"/>
        <v>93.398144757066461</v>
      </c>
      <c r="AI19" s="212">
        <f t="shared" si="1"/>
        <v>93.536697025948513</v>
      </c>
      <c r="AJ19" s="212">
        <f t="shared" si="1"/>
        <v>93.753184823129004</v>
      </c>
    </row>
    <row r="20" spans="2:36" ht="15" thickTop="1">
      <c r="G20" s="9"/>
      <c r="H20" s="29" t="s">
        <v>26</v>
      </c>
      <c r="I20" s="140">
        <f>I5/Y5*100</f>
        <v>854.35205067873596</v>
      </c>
      <c r="J20" s="140">
        <f t="shared" ref="J20:S20" si="2">J5/Z5*100</f>
        <v>808.91032367243145</v>
      </c>
      <c r="K20" s="140">
        <f t="shared" si="2"/>
        <v>924.8384601754866</v>
      </c>
      <c r="L20" s="140">
        <f t="shared" si="2"/>
        <v>995.33011288934631</v>
      </c>
      <c r="M20" s="140">
        <f t="shared" si="2"/>
        <v>1036.734102259675</v>
      </c>
      <c r="N20" s="140">
        <f t="shared" si="2"/>
        <v>1030.8099073896196</v>
      </c>
      <c r="O20" s="140">
        <f t="shared" si="2"/>
        <v>1076.5915303701804</v>
      </c>
      <c r="P20" s="140">
        <f t="shared" si="2"/>
        <v>1172.462339235537</v>
      </c>
      <c r="Q20" s="140">
        <f t="shared" si="2"/>
        <v>1115.1852342411287</v>
      </c>
      <c r="R20" s="140">
        <f t="shared" si="2"/>
        <v>1015.493598977623</v>
      </c>
      <c r="S20" s="140">
        <f t="shared" si="2"/>
        <v>1063.8504370241765</v>
      </c>
      <c r="T20" s="140">
        <f>T5/AJ5*100</f>
        <v>1057.9401568184867</v>
      </c>
      <c r="W20" s="3" t="s">
        <v>25</v>
      </c>
      <c r="X20" s="210" t="s">
        <v>306</v>
      </c>
      <c r="Y20" s="212">
        <f t="shared" ref="Y20:AJ23" si="3">I52/I59*100</f>
        <v>92.907317474421589</v>
      </c>
      <c r="Z20" s="212">
        <f t="shared" si="3"/>
        <v>92.981033612315215</v>
      </c>
      <c r="AA20" s="212">
        <f t="shared" si="3"/>
        <v>93.064072562963403</v>
      </c>
      <c r="AB20" s="212">
        <f t="shared" si="3"/>
        <v>93.206127384049083</v>
      </c>
      <c r="AC20" s="212">
        <f t="shared" si="3"/>
        <v>93.302687248170955</v>
      </c>
      <c r="AD20" s="212">
        <f t="shared" si="3"/>
        <v>93.450586021911391</v>
      </c>
      <c r="AE20" s="212">
        <f t="shared" si="3"/>
        <v>93.582508621101439</v>
      </c>
      <c r="AF20" s="212">
        <f t="shared" si="3"/>
        <v>93.745541623270483</v>
      </c>
      <c r="AG20" s="212">
        <f t="shared" si="3"/>
        <v>93.820678567353823</v>
      </c>
      <c r="AH20" s="212">
        <f t="shared" si="3"/>
        <v>94.024022004781344</v>
      </c>
      <c r="AI20" s="212">
        <f t="shared" si="3"/>
        <v>94.128871914793805</v>
      </c>
      <c r="AJ20" s="212">
        <f t="shared" si="3"/>
        <v>94.253976320629434</v>
      </c>
    </row>
    <row r="21" spans="2:36">
      <c r="G21" s="9"/>
      <c r="H21" s="8" t="s">
        <v>27</v>
      </c>
      <c r="I21" s="140">
        <f t="shared" ref="I21:I30" si="4">I6/Y6*100</f>
        <v>15789.783178049498</v>
      </c>
      <c r="J21" s="140">
        <f t="shared" ref="J21:J30" si="5">J6/Z6*100</f>
        <v>14953.570046276092</v>
      </c>
      <c r="K21" s="140">
        <f t="shared" ref="K21:K30" si="6">K6/AA6*100</f>
        <v>17100.721063106837</v>
      </c>
      <c r="L21" s="140">
        <f t="shared" ref="L21:L30" si="7">L6/AB6*100</f>
        <v>18380.617587636203</v>
      </c>
      <c r="M21" s="140">
        <f t="shared" ref="M21:M30" si="8">M6/AC6*100</f>
        <v>19196.390718586968</v>
      </c>
      <c r="N21" s="140">
        <f t="shared" ref="N21:N30" si="9">N6/AD6*100</f>
        <v>19121.825473768793</v>
      </c>
      <c r="O21" s="140">
        <f t="shared" ref="O21:O30" si="10">O6/AE6*100</f>
        <v>20191.203923852052</v>
      </c>
      <c r="P21" s="140">
        <f t="shared" ref="P21:P30" si="11">P6/AF6*100</f>
        <v>22046.880171975208</v>
      </c>
      <c r="Q21" s="140">
        <f t="shared" ref="Q21:Q30" si="12">Q6/AG6*100</f>
        <v>20973.658338320816</v>
      </c>
      <c r="R21" s="140">
        <f t="shared" ref="R21:R30" si="13">R6/AH6*100</f>
        <v>19111.279261159059</v>
      </c>
      <c r="S21" s="140">
        <f t="shared" ref="S21:T30" si="14">S6/AI6*100</f>
        <v>19977.324808154161</v>
      </c>
      <c r="T21" s="140">
        <f t="shared" si="14"/>
        <v>19906.296315912467</v>
      </c>
      <c r="W21" s="3" t="s">
        <v>25</v>
      </c>
      <c r="X21" s="210" t="s">
        <v>83</v>
      </c>
      <c r="Y21" s="212">
        <f t="shared" si="3"/>
        <v>89.535871248987448</v>
      </c>
      <c r="Z21" s="212">
        <f t="shared" si="3"/>
        <v>89.89015772893157</v>
      </c>
      <c r="AA21" s="212">
        <f t="shared" si="3"/>
        <v>90.260770687460152</v>
      </c>
      <c r="AB21" s="212">
        <f t="shared" si="3"/>
        <v>90.55094831795779</v>
      </c>
      <c r="AC21" s="212">
        <f t="shared" si="3"/>
        <v>90.774410014257569</v>
      </c>
      <c r="AD21" s="212">
        <f t="shared" si="3"/>
        <v>91.037853475631479</v>
      </c>
      <c r="AE21" s="212">
        <f t="shared" si="3"/>
        <v>91.304008623589354</v>
      </c>
      <c r="AF21" s="212">
        <f t="shared" si="3"/>
        <v>91.536927243094723</v>
      </c>
      <c r="AG21" s="212">
        <f t="shared" si="3"/>
        <v>91.897055539890701</v>
      </c>
      <c r="AH21" s="212">
        <f t="shared" si="3"/>
        <v>91.836128615216126</v>
      </c>
      <c r="AI21" s="212">
        <f t="shared" si="3"/>
        <v>92.060342676296528</v>
      </c>
      <c r="AJ21" s="212">
        <f t="shared" si="3"/>
        <v>92.524298981432011</v>
      </c>
    </row>
    <row r="22" spans="2:36">
      <c r="G22" s="9"/>
      <c r="H22" s="8" t="s">
        <v>28</v>
      </c>
      <c r="I22" s="140">
        <f t="shared" si="4"/>
        <v>7195.3267956702457</v>
      </c>
      <c r="J22" s="140">
        <f t="shared" si="5"/>
        <v>6845.2516953793747</v>
      </c>
      <c r="K22" s="140">
        <f t="shared" si="6"/>
        <v>7854.981942753052</v>
      </c>
      <c r="L22" s="140">
        <f t="shared" si="7"/>
        <v>7064.666364095935</v>
      </c>
      <c r="M22" s="140">
        <f t="shared" si="8"/>
        <v>7393.0865221306321</v>
      </c>
      <c r="N22" s="140">
        <f t="shared" si="9"/>
        <v>7385.1112400139855</v>
      </c>
      <c r="O22" s="140">
        <f t="shared" si="10"/>
        <v>7521.4803398162912</v>
      </c>
      <c r="P22" s="140">
        <f t="shared" si="11"/>
        <v>8228.9444037643607</v>
      </c>
      <c r="Q22" s="140">
        <f t="shared" si="12"/>
        <v>7862.7005948637707</v>
      </c>
      <c r="R22" s="140">
        <f t="shared" si="13"/>
        <v>7199.4056415359182</v>
      </c>
      <c r="S22" s="140">
        <f t="shared" si="14"/>
        <v>7526.1013597232604</v>
      </c>
      <c r="T22" s="140">
        <f t="shared" ref="T22:T30" si="15">T7/AJ7*100</f>
        <v>7486.0689056821793</v>
      </c>
      <c r="W22" s="3" t="s">
        <v>25</v>
      </c>
      <c r="X22" s="210" t="s">
        <v>307</v>
      </c>
      <c r="Y22" s="212">
        <f t="shared" si="3"/>
        <v>93.001679723660118</v>
      </c>
      <c r="Z22" s="212">
        <f t="shared" si="3"/>
        <v>93.101348070423597</v>
      </c>
      <c r="AA22" s="212">
        <f t="shared" si="3"/>
        <v>93.200799749478051</v>
      </c>
      <c r="AB22" s="212">
        <f t="shared" si="3"/>
        <v>93.338198198822525</v>
      </c>
      <c r="AC22" s="212">
        <f t="shared" si="3"/>
        <v>93.442119116077365</v>
      </c>
      <c r="AD22" s="212">
        <f t="shared" si="3"/>
        <v>93.59359693343869</v>
      </c>
      <c r="AE22" s="212">
        <f t="shared" si="3"/>
        <v>93.74488521189744</v>
      </c>
      <c r="AF22" s="212">
        <f t="shared" si="3"/>
        <v>93.892116017041729</v>
      </c>
      <c r="AG22" s="212">
        <f t="shared" si="3"/>
        <v>93.939698069453598</v>
      </c>
      <c r="AH22" s="212">
        <f t="shared" si="3"/>
        <v>94.099965750089808</v>
      </c>
      <c r="AI22" s="212">
        <f t="shared" si="3"/>
        <v>94.150793159661333</v>
      </c>
      <c r="AJ22" s="212">
        <f t="shared" si="3"/>
        <v>94.25035656018629</v>
      </c>
    </row>
    <row r="23" spans="2:36">
      <c r="G23" s="9"/>
      <c r="H23" s="8" t="s">
        <v>29</v>
      </c>
      <c r="I23" s="140">
        <f t="shared" si="4"/>
        <v>547.04093694562789</v>
      </c>
      <c r="J23" s="140">
        <f t="shared" si="5"/>
        <v>519.80998219647176</v>
      </c>
      <c r="K23" s="140">
        <f t="shared" si="6"/>
        <v>597.10449030790642</v>
      </c>
      <c r="L23" s="140">
        <f t="shared" si="7"/>
        <v>644.10378311836291</v>
      </c>
      <c r="M23" s="140">
        <f t="shared" si="8"/>
        <v>674.77539183828503</v>
      </c>
      <c r="N23" s="140">
        <f t="shared" si="9"/>
        <v>674.01379433056695</v>
      </c>
      <c r="O23" s="140">
        <f t="shared" si="10"/>
        <v>706.64804544535912</v>
      </c>
      <c r="P23" s="140">
        <f t="shared" si="11"/>
        <v>773.07629639268407</v>
      </c>
      <c r="Q23" s="140">
        <f t="shared" si="12"/>
        <v>737.80256601502083</v>
      </c>
      <c r="R23" s="140">
        <f t="shared" si="13"/>
        <v>673.68776610503483</v>
      </c>
      <c r="S23" s="140">
        <f t="shared" si="14"/>
        <v>704.19100042029868</v>
      </c>
      <c r="T23" s="140">
        <f t="shared" si="15"/>
        <v>700.27882819574154</v>
      </c>
      <c r="W23" s="3" t="s">
        <v>25</v>
      </c>
      <c r="X23" s="210" t="s">
        <v>308</v>
      </c>
      <c r="Y23" s="212">
        <f t="shared" si="3"/>
        <v>89.751989749269299</v>
      </c>
      <c r="Z23" s="212">
        <f t="shared" si="3"/>
        <v>90.129788585906041</v>
      </c>
      <c r="AA23" s="212">
        <f t="shared" si="3"/>
        <v>90.537688868805162</v>
      </c>
      <c r="AB23" s="212">
        <f t="shared" si="3"/>
        <v>90.857352161789464</v>
      </c>
      <c r="AC23" s="212">
        <f t="shared" si="3"/>
        <v>91.087957709642282</v>
      </c>
      <c r="AD23" s="212">
        <f t="shared" si="3"/>
        <v>91.371598482921868</v>
      </c>
      <c r="AE23" s="212">
        <f t="shared" si="3"/>
        <v>91.644344576295452</v>
      </c>
      <c r="AF23" s="212">
        <f t="shared" si="3"/>
        <v>91.874888379333015</v>
      </c>
      <c r="AG23" s="212">
        <f t="shared" si="3"/>
        <v>92.267175644674566</v>
      </c>
      <c r="AH23" s="212">
        <f t="shared" si="3"/>
        <v>92.605926402571654</v>
      </c>
      <c r="AI23" s="212">
        <f t="shared" si="3"/>
        <v>92.808450509844491</v>
      </c>
      <c r="AJ23" s="212">
        <f t="shared" si="3"/>
        <v>93.184737634131793</v>
      </c>
    </row>
    <row r="24" spans="2:36">
      <c r="G24" s="9"/>
      <c r="H24" s="8" t="s">
        <v>30</v>
      </c>
      <c r="I24" s="140">
        <f t="shared" si="4"/>
        <v>3641.1645138646927</v>
      </c>
      <c r="J24" s="140">
        <f t="shared" si="5"/>
        <v>3460.2686959705679</v>
      </c>
      <c r="K24" s="140">
        <f t="shared" si="6"/>
        <v>3972.790658325976</v>
      </c>
      <c r="L24" s="140">
        <f t="shared" si="7"/>
        <v>3941.7629099366741</v>
      </c>
      <c r="M24" s="140">
        <f t="shared" si="8"/>
        <v>4122.9297228305804</v>
      </c>
      <c r="N24" s="140">
        <f t="shared" si="9"/>
        <v>4118.3283819250264</v>
      </c>
      <c r="O24" s="140">
        <f t="shared" si="10"/>
        <v>4148.8231262056934</v>
      </c>
      <c r="P24" s="140">
        <f t="shared" si="11"/>
        <v>4533.8818970703305</v>
      </c>
      <c r="Q24" s="140">
        <f t="shared" si="12"/>
        <v>4330.0694305141524</v>
      </c>
      <c r="R24" s="140">
        <f t="shared" si="13"/>
        <v>7816.1905805160932</v>
      </c>
      <c r="S24" s="140">
        <f t="shared" si="14"/>
        <v>8158.7314963681547</v>
      </c>
      <c r="T24" s="140">
        <f t="shared" si="15"/>
        <v>8091.9239093954529</v>
      </c>
      <c r="W24" s="38"/>
      <c r="X24" s="205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</row>
    <row r="25" spans="2:36">
      <c r="B25" s="148"/>
      <c r="C25" s="148"/>
      <c r="D25" s="148"/>
      <c r="E25" s="148"/>
      <c r="F25" s="148"/>
      <c r="G25" s="9"/>
      <c r="H25" s="8" t="s">
        <v>31</v>
      </c>
      <c r="I25" s="140">
        <f t="shared" si="4"/>
        <v>634.84619630033444</v>
      </c>
      <c r="J25" s="140">
        <f t="shared" si="5"/>
        <v>602.35658784352438</v>
      </c>
      <c r="K25" s="140">
        <f t="shared" si="6"/>
        <v>690.98905719764298</v>
      </c>
      <c r="L25" s="140">
        <f t="shared" si="7"/>
        <v>635.47391870830745</v>
      </c>
      <c r="M25" s="140">
        <f t="shared" si="8"/>
        <v>664.08876053606991</v>
      </c>
      <c r="N25" s="140">
        <f t="shared" si="9"/>
        <v>663.26889786874142</v>
      </c>
      <c r="O25" s="140">
        <f t="shared" si="10"/>
        <v>657.97574119410081</v>
      </c>
      <c r="P25" s="140">
        <f t="shared" si="11"/>
        <v>718.87165554124988</v>
      </c>
      <c r="Q25" s="140">
        <f t="shared" si="12"/>
        <v>685.9330947716785</v>
      </c>
      <c r="R25" s="140">
        <f t="shared" si="13"/>
        <v>634.79800802842726</v>
      </c>
      <c r="S25" s="140">
        <f t="shared" si="14"/>
        <v>660.99602105817189</v>
      </c>
      <c r="T25" s="140">
        <f t="shared" si="15"/>
        <v>657.01411731685755</v>
      </c>
      <c r="W25" s="38"/>
      <c r="X25" s="205"/>
      <c r="Y25" s="203"/>
      <c r="Z25" s="203"/>
      <c r="AA25" s="203"/>
      <c r="AB25" s="203"/>
      <c r="AC25" s="203"/>
      <c r="AD25" s="203"/>
      <c r="AE25" s="204"/>
      <c r="AF25" s="204"/>
      <c r="AG25" s="204"/>
      <c r="AH25" s="204"/>
      <c r="AI25" s="204"/>
      <c r="AJ25" s="204"/>
    </row>
    <row r="26" spans="2:36">
      <c r="B26" s="148"/>
      <c r="C26" s="148"/>
      <c r="D26" s="148"/>
      <c r="E26" s="148"/>
      <c r="F26" s="148"/>
      <c r="G26" s="9"/>
      <c r="H26" s="8" t="s">
        <v>32</v>
      </c>
      <c r="I26" s="140">
        <f t="shared" si="4"/>
        <v>15491.185918597112</v>
      </c>
      <c r="J26" s="140">
        <f t="shared" si="5"/>
        <v>14753.510398663921</v>
      </c>
      <c r="K26" s="140">
        <f t="shared" si="6"/>
        <v>16966.536958463508</v>
      </c>
      <c r="L26" s="140">
        <f t="shared" si="7"/>
        <v>15643.138859449811</v>
      </c>
      <c r="M26" s="140">
        <f t="shared" si="8"/>
        <v>16388.050233709328</v>
      </c>
      <c r="N26" s="140">
        <f t="shared" si="9"/>
        <v>16370.560318838772</v>
      </c>
      <c r="O26" s="140">
        <f t="shared" si="10"/>
        <v>16432.989969829548</v>
      </c>
      <c r="P26" s="140">
        <f t="shared" si="11"/>
        <v>17978.84896130555</v>
      </c>
      <c r="Q26" s="140">
        <f t="shared" si="12"/>
        <v>17160.570174167497</v>
      </c>
      <c r="R26" s="140">
        <f t="shared" si="13"/>
        <v>16263.320770314011</v>
      </c>
      <c r="S26" s="140">
        <f t="shared" si="14"/>
        <v>16983.847639884887</v>
      </c>
      <c r="T26" s="140">
        <f t="shared" si="15"/>
        <v>16948.092171169337</v>
      </c>
      <c r="W26" s="38"/>
      <c r="X26" s="205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</row>
    <row r="27" spans="2:36">
      <c r="B27" s="148"/>
      <c r="C27" s="148"/>
      <c r="D27" s="148"/>
      <c r="E27" s="148"/>
      <c r="F27" s="148"/>
      <c r="G27" s="9"/>
      <c r="H27" s="8" t="s">
        <v>33</v>
      </c>
      <c r="I27" s="140">
        <f t="shared" si="4"/>
        <v>8683.1230087987169</v>
      </c>
      <c r="J27" s="140">
        <f t="shared" si="5"/>
        <v>8269.6409607606802</v>
      </c>
      <c r="K27" s="140">
        <f t="shared" si="6"/>
        <v>9499.6593777861035</v>
      </c>
      <c r="L27" s="140">
        <f t="shared" si="7"/>
        <v>8977.3908769278805</v>
      </c>
      <c r="M27" s="140">
        <f t="shared" si="8"/>
        <v>9384.3509956989947</v>
      </c>
      <c r="N27" s="140">
        <f t="shared" si="9"/>
        <v>9363.905786558038</v>
      </c>
      <c r="O27" s="140">
        <f t="shared" si="10"/>
        <v>9776.9559780490854</v>
      </c>
      <c r="P27" s="140">
        <f t="shared" si="11"/>
        <v>10661.739254561873</v>
      </c>
      <c r="Q27" s="140">
        <f t="shared" si="12"/>
        <v>10187.160308659631</v>
      </c>
      <c r="R27" s="140">
        <f t="shared" si="13"/>
        <v>9448.3629429392713</v>
      </c>
      <c r="S27" s="140">
        <f t="shared" si="14"/>
        <v>9876.9524770914832</v>
      </c>
      <c r="T27" s="140">
        <f t="shared" si="15"/>
        <v>9855.7117190762328</v>
      </c>
      <c r="W27" s="38"/>
      <c r="X27" s="205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</row>
    <row r="28" spans="2:36">
      <c r="B28" s="148"/>
      <c r="C28" s="148"/>
      <c r="D28" s="148"/>
      <c r="E28" s="148"/>
      <c r="F28" s="148"/>
      <c r="G28" s="9"/>
      <c r="H28" s="8" t="s">
        <v>35</v>
      </c>
      <c r="I28" s="140">
        <f t="shared" si="4"/>
        <v>293.53908212411272</v>
      </c>
      <c r="J28" s="140">
        <f t="shared" si="5"/>
        <v>279.56103059439312</v>
      </c>
      <c r="K28" s="140">
        <f t="shared" si="6"/>
        <v>321.49518518355205</v>
      </c>
      <c r="L28" s="140">
        <f t="shared" si="7"/>
        <v>303.79146371971342</v>
      </c>
      <c r="M28" s="140">
        <f t="shared" si="8"/>
        <v>318.25772389684255</v>
      </c>
      <c r="N28" s="140">
        <f t="shared" si="9"/>
        <v>318.25772389684255</v>
      </c>
      <c r="O28" s="140">
        <f t="shared" si="10"/>
        <v>334.14725554049193</v>
      </c>
      <c r="P28" s="140">
        <f t="shared" si="11"/>
        <v>365.97080368720555</v>
      </c>
      <c r="Q28" s="140">
        <f t="shared" si="12"/>
        <v>350.05902961384868</v>
      </c>
      <c r="R28" s="140">
        <f t="shared" si="13"/>
        <v>324.51961507437403</v>
      </c>
      <c r="S28" s="140">
        <f t="shared" si="14"/>
        <v>339.97293007791569</v>
      </c>
      <c r="T28" s="140">
        <f t="shared" si="15"/>
        <v>339.97293007791569</v>
      </c>
      <c r="W28" s="38"/>
      <c r="X28" s="205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</row>
    <row r="29" spans="2:36">
      <c r="B29" s="148"/>
      <c r="C29" s="148"/>
      <c r="D29" s="148"/>
      <c r="E29" s="148"/>
      <c r="F29" s="148"/>
      <c r="G29" s="9"/>
      <c r="H29" s="8" t="s">
        <v>37</v>
      </c>
      <c r="I29" s="140">
        <f t="shared" si="4"/>
        <v>34473.435411994964</v>
      </c>
      <c r="J29" s="140">
        <f t="shared" si="5"/>
        <v>32831.843249519006</v>
      </c>
      <c r="K29" s="140">
        <f t="shared" si="6"/>
        <v>37756.61973694685</v>
      </c>
      <c r="L29" s="140">
        <f t="shared" si="7"/>
        <v>36322.887178532867</v>
      </c>
      <c r="M29" s="140">
        <f t="shared" si="8"/>
        <v>38052.548472748713</v>
      </c>
      <c r="N29" s="140">
        <f t="shared" si="9"/>
        <v>38011.937428487508</v>
      </c>
      <c r="O29" s="140">
        <f t="shared" si="10"/>
        <v>39771.016438852923</v>
      </c>
      <c r="P29" s="140">
        <f t="shared" si="11"/>
        <v>43466.054136363375</v>
      </c>
      <c r="Q29" s="140">
        <f t="shared" si="12"/>
        <v>41532.042671533287</v>
      </c>
      <c r="R29" s="140">
        <f t="shared" si="13"/>
        <v>38341.663229524478</v>
      </c>
      <c r="S29" s="140">
        <f t="shared" si="14"/>
        <v>40124.906444699096</v>
      </c>
      <c r="T29" s="140">
        <f t="shared" si="15"/>
        <v>40082.446226239095</v>
      </c>
      <c r="W29" s="38"/>
      <c r="X29" s="205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</row>
    <row r="30" spans="2:36">
      <c r="B30" s="148"/>
      <c r="C30" s="148"/>
      <c r="D30" s="148"/>
      <c r="E30" s="148"/>
      <c r="F30" s="148"/>
      <c r="G30" s="28"/>
      <c r="H30" s="5" t="s">
        <v>38</v>
      </c>
      <c r="I30" s="140">
        <f t="shared" si="4"/>
        <v>34241.604725461504</v>
      </c>
      <c r="J30" s="140">
        <f t="shared" si="5"/>
        <v>32540.693862487184</v>
      </c>
      <c r="K30" s="140">
        <f t="shared" si="6"/>
        <v>37341.234329498875</v>
      </c>
      <c r="L30" s="140">
        <f t="shared" si="7"/>
        <v>39490.876118950306</v>
      </c>
      <c r="M30" s="140">
        <f t="shared" si="8"/>
        <v>41282.70936907774</v>
      </c>
      <c r="N30" s="140">
        <f t="shared" si="9"/>
        <v>41194.404108395218</v>
      </c>
      <c r="O30" s="140">
        <f t="shared" si="10"/>
        <v>43289.754292413258</v>
      </c>
      <c r="P30" s="140">
        <f t="shared" si="11"/>
        <v>47362.04156542787</v>
      </c>
      <c r="Q30" s="140">
        <f t="shared" si="12"/>
        <v>45302.822366931003</v>
      </c>
      <c r="R30" s="140">
        <f t="shared" si="13"/>
        <v>36569.689455959138</v>
      </c>
      <c r="S30" s="140">
        <f t="shared" si="14"/>
        <v>38311.103239576238</v>
      </c>
      <c r="T30" s="140">
        <f t="shared" si="15"/>
        <v>38270.346746768184</v>
      </c>
      <c r="W30" s="38"/>
      <c r="X30" s="205"/>
      <c r="Y30" s="203"/>
      <c r="Z30" s="203"/>
      <c r="AA30" s="203"/>
      <c r="AB30" s="203"/>
      <c r="AC30" s="203"/>
      <c r="AD30" s="203"/>
      <c r="AE30" s="203"/>
      <c r="AF30" s="203"/>
      <c r="AG30" s="203"/>
      <c r="AH30" s="204"/>
      <c r="AI30" s="204"/>
      <c r="AJ30" s="204"/>
    </row>
    <row r="31" spans="2:36">
      <c r="B31" s="148"/>
      <c r="C31" s="148"/>
      <c r="D31" s="148"/>
      <c r="E31" s="148"/>
      <c r="F31" s="148"/>
      <c r="G31" s="30" t="s">
        <v>25</v>
      </c>
      <c r="H31" s="3" t="s">
        <v>39</v>
      </c>
      <c r="I31" s="141">
        <f>SUM(I20:I30)</f>
        <v>121845.40181848555</v>
      </c>
      <c r="J31" s="141">
        <f t="shared" ref="J31:T31" si="16">SUM(J20:J30)</f>
        <v>115865.41683336365</v>
      </c>
      <c r="K31" s="141">
        <f t="shared" si="16"/>
        <v>133026.9712597458</v>
      </c>
      <c r="L31" s="141">
        <f t="shared" si="16"/>
        <v>132400.0391739654</v>
      </c>
      <c r="M31" s="141">
        <f t="shared" si="16"/>
        <v>138513.92201331383</v>
      </c>
      <c r="N31" s="141">
        <f t="shared" si="16"/>
        <v>138252.42306147312</v>
      </c>
      <c r="O31" s="141">
        <f t="shared" si="16"/>
        <v>143907.58664156898</v>
      </c>
      <c r="P31" s="141">
        <f t="shared" si="16"/>
        <v>157308.77148532524</v>
      </c>
      <c r="Q31" s="141">
        <f t="shared" si="16"/>
        <v>150238.00380963183</v>
      </c>
      <c r="R31" s="141">
        <f t="shared" si="16"/>
        <v>137398.41087013343</v>
      </c>
      <c r="S31" s="141">
        <f t="shared" si="16"/>
        <v>143727.97785407785</v>
      </c>
      <c r="T31" s="141">
        <f t="shared" si="16"/>
        <v>143396.09202665195</v>
      </c>
      <c r="X31" s="205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</row>
    <row r="32" spans="2:36">
      <c r="W32" s="206"/>
      <c r="X32" s="207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9"/>
    </row>
    <row r="33" spans="7:36">
      <c r="G33" s="1" t="s">
        <v>309</v>
      </c>
      <c r="J33" s="1"/>
      <c r="K33" s="20"/>
      <c r="M33" s="1"/>
      <c r="N33" s="20"/>
      <c r="P33" s="1"/>
      <c r="Q33" s="216" t="s">
        <v>301</v>
      </c>
      <c r="R33" s="216"/>
      <c r="S33" s="216"/>
      <c r="T33" s="216"/>
    </row>
    <row r="34" spans="7:36" ht="15" thickBot="1">
      <c r="G34" s="13" t="s">
        <v>303</v>
      </c>
      <c r="H34" s="45" t="s">
        <v>13</v>
      </c>
      <c r="I34" s="45" t="s">
        <v>14</v>
      </c>
      <c r="J34" s="45" t="s">
        <v>15</v>
      </c>
      <c r="K34" s="45" t="s">
        <v>16</v>
      </c>
      <c r="L34" s="45" t="s">
        <v>17</v>
      </c>
      <c r="M34" s="45" t="s">
        <v>18</v>
      </c>
      <c r="N34" s="45" t="s">
        <v>19</v>
      </c>
      <c r="O34" s="45" t="s">
        <v>20</v>
      </c>
      <c r="P34" s="45" t="s">
        <v>21</v>
      </c>
      <c r="Q34" s="45" t="s">
        <v>22</v>
      </c>
      <c r="R34" s="45" t="s">
        <v>23</v>
      </c>
      <c r="S34" s="45" t="s">
        <v>24</v>
      </c>
      <c r="T34" s="45" t="s">
        <v>10</v>
      </c>
    </row>
    <row r="35" spans="7:36" ht="15" thickTop="1">
      <c r="G35" s="9"/>
      <c r="H35" s="29" t="s">
        <v>26</v>
      </c>
      <c r="I35" s="140">
        <f>I5/I20*100</f>
        <v>85</v>
      </c>
      <c r="J35" s="140">
        <f t="shared" ref="J35:T35" si="17">J5/J20*100</f>
        <v>85.5</v>
      </c>
      <c r="K35" s="140">
        <f t="shared" si="17"/>
        <v>86</v>
      </c>
      <c r="L35" s="140">
        <f t="shared" si="17"/>
        <v>86.5</v>
      </c>
      <c r="M35" s="140">
        <f t="shared" si="17"/>
        <v>87</v>
      </c>
      <c r="N35" s="140">
        <f t="shared" si="17"/>
        <v>87.5</v>
      </c>
      <c r="O35" s="140">
        <f t="shared" si="17"/>
        <v>88.000000000000014</v>
      </c>
      <c r="P35" s="140">
        <f t="shared" si="17"/>
        <v>88.5</v>
      </c>
      <c r="Q35" s="140">
        <f t="shared" si="17"/>
        <v>88.999999999999986</v>
      </c>
      <c r="R35" s="140">
        <f t="shared" si="17"/>
        <v>89.500000000000014</v>
      </c>
      <c r="S35" s="140">
        <f t="shared" si="17"/>
        <v>89.5</v>
      </c>
      <c r="T35" s="140">
        <f t="shared" si="17"/>
        <v>90</v>
      </c>
      <c r="W35" s="27"/>
      <c r="X35" s="27"/>
      <c r="Y35" s="27"/>
      <c r="Z35" s="27"/>
      <c r="AA35" s="153"/>
      <c r="AB35" s="27"/>
      <c r="AC35" s="27"/>
      <c r="AD35" s="153"/>
      <c r="AE35" s="27"/>
      <c r="AF35" s="27"/>
      <c r="AG35" s="153"/>
      <c r="AH35" s="27"/>
      <c r="AI35" s="27"/>
      <c r="AJ35" s="153"/>
    </row>
    <row r="36" spans="7:36">
      <c r="G36" s="9"/>
      <c r="H36" s="8" t="s">
        <v>27</v>
      </c>
      <c r="I36" s="140">
        <f t="shared" ref="I36:T36" si="18">I6/I21*100</f>
        <v>88.727582497337536</v>
      </c>
      <c r="J36" s="140">
        <f t="shared" si="18"/>
        <v>89.227890712632572</v>
      </c>
      <c r="K36" s="140">
        <f t="shared" si="18"/>
        <v>89.728195394116952</v>
      </c>
      <c r="L36" s="140">
        <f t="shared" si="18"/>
        <v>90.225993673679298</v>
      </c>
      <c r="M36" s="140">
        <f t="shared" si="18"/>
        <v>90.505626393218748</v>
      </c>
      <c r="N36" s="140">
        <f t="shared" si="18"/>
        <v>90.858551598957632</v>
      </c>
      <c r="O36" s="140">
        <f t="shared" si="18"/>
        <v>91.213848228391825</v>
      </c>
      <c r="P36" s="140">
        <f t="shared" si="18"/>
        <v>91.492267960102723</v>
      </c>
      <c r="Q36" s="140">
        <f t="shared" si="18"/>
        <v>91.99245111156722</v>
      </c>
      <c r="R36" s="140">
        <f t="shared" si="18"/>
        <v>92.344462096353169</v>
      </c>
      <c r="S36" s="140">
        <f t="shared" si="18"/>
        <v>92.547921554733776</v>
      </c>
      <c r="T36" s="140">
        <f t="shared" si="18"/>
        <v>92.878145682005552</v>
      </c>
      <c r="W36" s="38"/>
      <c r="X36" s="38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</row>
    <row r="37" spans="7:36">
      <c r="G37" s="9"/>
      <c r="H37" s="8" t="s">
        <v>28</v>
      </c>
      <c r="I37" s="140">
        <f t="shared" ref="I37:T37" si="19">I7/I22*100</f>
        <v>92.000000000000014</v>
      </c>
      <c r="J37" s="140">
        <f t="shared" si="19"/>
        <v>92.100000000000009</v>
      </c>
      <c r="K37" s="140">
        <f t="shared" si="19"/>
        <v>92.300000000000011</v>
      </c>
      <c r="L37" s="140">
        <f t="shared" si="19"/>
        <v>92.5</v>
      </c>
      <c r="M37" s="140">
        <f t="shared" si="19"/>
        <v>92.59999999999998</v>
      </c>
      <c r="N37" s="140">
        <f t="shared" si="19"/>
        <v>92.699999999999989</v>
      </c>
      <c r="O37" s="140">
        <f t="shared" si="19"/>
        <v>92.800000000000011</v>
      </c>
      <c r="P37" s="140">
        <f t="shared" si="19"/>
        <v>92.9</v>
      </c>
      <c r="Q37" s="140">
        <f t="shared" si="19"/>
        <v>93</v>
      </c>
      <c r="R37" s="140">
        <f t="shared" si="19"/>
        <v>93.3</v>
      </c>
      <c r="S37" s="140">
        <f t="shared" si="19"/>
        <v>93.5</v>
      </c>
      <c r="T37" s="140">
        <f t="shared" si="19"/>
        <v>94</v>
      </c>
      <c r="W37" s="38"/>
      <c r="X37" s="38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</row>
    <row r="38" spans="7:36">
      <c r="G38" s="9"/>
      <c r="H38" s="8" t="s">
        <v>29</v>
      </c>
      <c r="I38" s="140">
        <f t="shared" ref="I38:T38" si="20">I8/I23*100</f>
        <v>88</v>
      </c>
      <c r="J38" s="140">
        <f t="shared" si="20"/>
        <v>88.2</v>
      </c>
      <c r="K38" s="140">
        <f t="shared" si="20"/>
        <v>88.299999999999983</v>
      </c>
      <c r="L38" s="140">
        <f t="shared" si="20"/>
        <v>88.5</v>
      </c>
      <c r="M38" s="140">
        <f t="shared" si="20"/>
        <v>88.5</v>
      </c>
      <c r="N38" s="140">
        <f t="shared" si="20"/>
        <v>88.6</v>
      </c>
      <c r="O38" s="140">
        <f t="shared" si="20"/>
        <v>88.700000000000017</v>
      </c>
      <c r="P38" s="140">
        <f t="shared" si="20"/>
        <v>88.8</v>
      </c>
      <c r="Q38" s="140">
        <f t="shared" si="20"/>
        <v>89</v>
      </c>
      <c r="R38" s="140">
        <f t="shared" si="20"/>
        <v>89.3</v>
      </c>
      <c r="S38" s="140">
        <f t="shared" si="20"/>
        <v>89.5</v>
      </c>
      <c r="T38" s="140">
        <f t="shared" si="20"/>
        <v>89.999999999999986</v>
      </c>
      <c r="W38" s="38"/>
      <c r="X38" s="38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</row>
    <row r="39" spans="7:36">
      <c r="G39" s="9"/>
      <c r="H39" s="8" t="s">
        <v>30</v>
      </c>
      <c r="I39" s="140">
        <f t="shared" ref="I39:T39" si="21">I9/I24*100</f>
        <v>89.466637314318234</v>
      </c>
      <c r="J39" s="140">
        <f t="shared" si="21"/>
        <v>89.660734630244804</v>
      </c>
      <c r="K39" s="140">
        <f t="shared" si="21"/>
        <v>89.807845159380946</v>
      </c>
      <c r="L39" s="140">
        <f t="shared" si="21"/>
        <v>89.931053502153389</v>
      </c>
      <c r="M39" s="140">
        <f t="shared" si="21"/>
        <v>90.073623433285931</v>
      </c>
      <c r="N39" s="140">
        <f t="shared" si="21"/>
        <v>90.174261218712189</v>
      </c>
      <c r="O39" s="140">
        <f t="shared" si="21"/>
        <v>90.331579244562064</v>
      </c>
      <c r="P39" s="140">
        <f t="shared" si="21"/>
        <v>90.532155662917916</v>
      </c>
      <c r="Q39" s="140">
        <f t="shared" si="21"/>
        <v>90.671969498435928</v>
      </c>
      <c r="R39" s="140">
        <f t="shared" si="21"/>
        <v>89.766958937376131</v>
      </c>
      <c r="S39" s="140">
        <f t="shared" si="21"/>
        <v>90.09327995006376</v>
      </c>
      <c r="T39" s="140">
        <f t="shared" si="21"/>
        <v>90.837097452960862</v>
      </c>
      <c r="W39" s="38"/>
      <c r="X39" s="38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</row>
    <row r="40" spans="7:36">
      <c r="G40" s="9"/>
      <c r="H40" s="8" t="s">
        <v>31</v>
      </c>
      <c r="I40" s="140">
        <f t="shared" ref="I40:T40" si="22">I10/I25*100</f>
        <v>80</v>
      </c>
      <c r="J40" s="140">
        <f t="shared" si="22"/>
        <v>80.3</v>
      </c>
      <c r="K40" s="140">
        <f t="shared" si="22"/>
        <v>80.5</v>
      </c>
      <c r="L40" s="140">
        <f t="shared" si="22"/>
        <v>80.7</v>
      </c>
      <c r="M40" s="140">
        <f t="shared" si="22"/>
        <v>80.900000000000006</v>
      </c>
      <c r="N40" s="140">
        <f t="shared" si="22"/>
        <v>81</v>
      </c>
      <c r="O40" s="140">
        <f t="shared" si="22"/>
        <v>81.300000000000011</v>
      </c>
      <c r="P40" s="140">
        <f t="shared" si="22"/>
        <v>81.5</v>
      </c>
      <c r="Q40" s="140">
        <f t="shared" si="22"/>
        <v>81.7</v>
      </c>
      <c r="R40" s="140">
        <f t="shared" si="22"/>
        <v>82</v>
      </c>
      <c r="S40" s="140">
        <f t="shared" si="22"/>
        <v>82.5</v>
      </c>
      <c r="T40" s="140">
        <f t="shared" si="22"/>
        <v>83</v>
      </c>
      <c r="W40" s="38"/>
      <c r="X40" s="38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</row>
    <row r="41" spans="7:36">
      <c r="G41" s="9"/>
      <c r="H41" s="8" t="s">
        <v>32</v>
      </c>
      <c r="I41" s="140">
        <f t="shared" ref="I41:T41" si="23">I11/I26*100</f>
        <v>93.5</v>
      </c>
      <c r="J41" s="140">
        <f t="shared" si="23"/>
        <v>93.499999999999986</v>
      </c>
      <c r="K41" s="140">
        <f t="shared" si="23"/>
        <v>93.5</v>
      </c>
      <c r="L41" s="140">
        <f t="shared" si="23"/>
        <v>93.600000000000009</v>
      </c>
      <c r="M41" s="140">
        <f t="shared" si="23"/>
        <v>93.6</v>
      </c>
      <c r="N41" s="140">
        <f t="shared" si="23"/>
        <v>93.699999999999989</v>
      </c>
      <c r="O41" s="140">
        <f t="shared" si="23"/>
        <v>93.7</v>
      </c>
      <c r="P41" s="140">
        <f t="shared" si="23"/>
        <v>93.8</v>
      </c>
      <c r="Q41" s="140">
        <f t="shared" si="23"/>
        <v>94</v>
      </c>
      <c r="R41" s="140">
        <f t="shared" si="23"/>
        <v>94.5</v>
      </c>
      <c r="S41" s="140">
        <f t="shared" si="23"/>
        <v>94.8</v>
      </c>
      <c r="T41" s="140">
        <f t="shared" si="23"/>
        <v>95</v>
      </c>
      <c r="W41" s="38"/>
      <c r="X41" s="38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</row>
    <row r="42" spans="7:36">
      <c r="G42" s="9"/>
      <c r="H42" s="8" t="s">
        <v>33</v>
      </c>
      <c r="I42" s="140">
        <f t="shared" ref="I42:T42" si="24">I12/I27*100</f>
        <v>91.1</v>
      </c>
      <c r="J42" s="140">
        <f t="shared" si="24"/>
        <v>91.100000000000009</v>
      </c>
      <c r="K42" s="140">
        <f t="shared" si="24"/>
        <v>91.2</v>
      </c>
      <c r="L42" s="140">
        <f t="shared" si="24"/>
        <v>91.40000000000002</v>
      </c>
      <c r="M42" s="140">
        <f t="shared" si="24"/>
        <v>91.6</v>
      </c>
      <c r="N42" s="140">
        <f t="shared" si="24"/>
        <v>91.8</v>
      </c>
      <c r="O42" s="140">
        <f t="shared" si="24"/>
        <v>92</v>
      </c>
      <c r="P42" s="140">
        <f t="shared" si="24"/>
        <v>92.399999999999991</v>
      </c>
      <c r="Q42" s="140">
        <f t="shared" si="24"/>
        <v>92.5</v>
      </c>
      <c r="R42" s="140">
        <f t="shared" si="24"/>
        <v>92.600000000000009</v>
      </c>
      <c r="S42" s="140">
        <f t="shared" si="24"/>
        <v>92.8</v>
      </c>
      <c r="T42" s="140">
        <f t="shared" si="24"/>
        <v>93</v>
      </c>
      <c r="W42" s="38"/>
      <c r="X42" s="38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</row>
    <row r="43" spans="7:36">
      <c r="G43" s="9"/>
      <c r="H43" s="8" t="s">
        <v>35</v>
      </c>
      <c r="I43" s="140">
        <f t="shared" ref="I43:T43" si="25">I13/I28*100</f>
        <v>93</v>
      </c>
      <c r="J43" s="140">
        <f t="shared" si="25"/>
        <v>93</v>
      </c>
      <c r="K43" s="140">
        <f t="shared" si="25"/>
        <v>93</v>
      </c>
      <c r="L43" s="140">
        <f t="shared" si="25"/>
        <v>93</v>
      </c>
      <c r="M43" s="140">
        <f t="shared" si="25"/>
        <v>93</v>
      </c>
      <c r="N43" s="140">
        <f t="shared" si="25"/>
        <v>93</v>
      </c>
      <c r="O43" s="140">
        <f t="shared" si="25"/>
        <v>93</v>
      </c>
      <c r="P43" s="140">
        <f t="shared" si="25"/>
        <v>93</v>
      </c>
      <c r="Q43" s="140">
        <f t="shared" si="25"/>
        <v>93</v>
      </c>
      <c r="R43" s="140">
        <f t="shared" si="25"/>
        <v>93</v>
      </c>
      <c r="S43" s="140">
        <f t="shared" si="25"/>
        <v>93</v>
      </c>
      <c r="T43" s="140">
        <f t="shared" si="25"/>
        <v>93</v>
      </c>
      <c r="W43" s="38"/>
      <c r="X43" s="38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</row>
    <row r="44" spans="7:36">
      <c r="G44" s="9"/>
      <c r="H44" s="8" t="s">
        <v>37</v>
      </c>
      <c r="I44" s="140">
        <f t="shared" ref="I44:T44" si="26">I14/I29*100</f>
        <v>93.5</v>
      </c>
      <c r="J44" s="140">
        <f t="shared" si="26"/>
        <v>93.5</v>
      </c>
      <c r="K44" s="140">
        <f t="shared" si="26"/>
        <v>93.5</v>
      </c>
      <c r="L44" s="140">
        <f t="shared" si="26"/>
        <v>93.600000000000009</v>
      </c>
      <c r="M44" s="140">
        <f t="shared" si="26"/>
        <v>93.6</v>
      </c>
      <c r="N44" s="140">
        <f t="shared" si="26"/>
        <v>93.699999999999989</v>
      </c>
      <c r="O44" s="140">
        <f t="shared" si="26"/>
        <v>93.8</v>
      </c>
      <c r="P44" s="140">
        <f t="shared" si="26"/>
        <v>94</v>
      </c>
      <c r="Q44" s="140">
        <f t="shared" si="26"/>
        <v>94.1</v>
      </c>
      <c r="R44" s="140">
        <f t="shared" si="26"/>
        <v>94.299999999999983</v>
      </c>
      <c r="S44" s="140">
        <f t="shared" si="26"/>
        <v>94.399999999999991</v>
      </c>
      <c r="T44" s="140">
        <f t="shared" si="26"/>
        <v>94.5</v>
      </c>
      <c r="W44" s="38"/>
      <c r="X44" s="38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</row>
    <row r="45" spans="7:36">
      <c r="G45" s="28"/>
      <c r="H45" s="5" t="s">
        <v>38</v>
      </c>
      <c r="I45" s="140">
        <f t="shared" ref="I45:T46" si="27">I15/I30*100</f>
        <v>92.499999999999986</v>
      </c>
      <c r="J45" s="140">
        <f t="shared" si="27"/>
        <v>92.699999999999989</v>
      </c>
      <c r="K45" s="140">
        <f t="shared" si="27"/>
        <v>92.9</v>
      </c>
      <c r="L45" s="140">
        <f t="shared" si="27"/>
        <v>93.09999999999998</v>
      </c>
      <c r="M45" s="140">
        <f t="shared" si="27"/>
        <v>93.3</v>
      </c>
      <c r="N45" s="140">
        <f t="shared" si="27"/>
        <v>93.5</v>
      </c>
      <c r="O45" s="140">
        <f t="shared" si="27"/>
        <v>93.700000000000017</v>
      </c>
      <c r="P45" s="140">
        <f t="shared" si="27"/>
        <v>93.8</v>
      </c>
      <c r="Q45" s="140">
        <f t="shared" si="27"/>
        <v>93.8</v>
      </c>
      <c r="R45" s="140">
        <f t="shared" si="27"/>
        <v>93.9</v>
      </c>
      <c r="S45" s="140">
        <f t="shared" si="27"/>
        <v>93.9</v>
      </c>
      <c r="T45" s="140">
        <f t="shared" si="27"/>
        <v>94</v>
      </c>
      <c r="W45" s="38"/>
      <c r="X45" s="38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</row>
    <row r="46" spans="7:36">
      <c r="G46" s="197" t="s">
        <v>25</v>
      </c>
      <c r="H46" s="198" t="s">
        <v>39</v>
      </c>
      <c r="I46" s="199">
        <f t="shared" si="27"/>
        <v>92.064545128583958</v>
      </c>
      <c r="J46" s="199">
        <f t="shared" si="27"/>
        <v>92.205840033326453</v>
      </c>
      <c r="K46" s="199">
        <f t="shared" si="27"/>
        <v>92.357122672756446</v>
      </c>
      <c r="L46" s="199">
        <f t="shared" si="27"/>
        <v>92.523890577002604</v>
      </c>
      <c r="M46" s="199">
        <f t="shared" si="27"/>
        <v>92.65139434053485</v>
      </c>
      <c r="N46" s="199">
        <f t="shared" si="27"/>
        <v>92.826640762768307</v>
      </c>
      <c r="O46" s="199">
        <f t="shared" si="27"/>
        <v>92.993650517307529</v>
      </c>
      <c r="P46" s="199">
        <f t="shared" si="27"/>
        <v>93.173538327945693</v>
      </c>
      <c r="Q46" s="199">
        <f t="shared" si="27"/>
        <v>93.316956952431241</v>
      </c>
      <c r="R46" s="199">
        <f t="shared" si="27"/>
        <v>93.398144757066461</v>
      </c>
      <c r="S46" s="199">
        <f t="shared" si="27"/>
        <v>93.536697025948513</v>
      </c>
      <c r="T46" s="199">
        <f t="shared" si="27"/>
        <v>93.753184823129004</v>
      </c>
      <c r="X46" s="38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</row>
    <row r="47" spans="7:36">
      <c r="W47" s="155"/>
      <c r="X47" s="27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</row>
    <row r="49" spans="7:20">
      <c r="H49" s="1" t="s">
        <v>310</v>
      </c>
      <c r="I49" s="195">
        <v>92.486454743137529</v>
      </c>
      <c r="J49" s="196">
        <v>92.516573764412783</v>
      </c>
      <c r="K49" s="195">
        <v>92.565052137560045</v>
      </c>
      <c r="L49" s="195">
        <v>92.702072552139143</v>
      </c>
      <c r="M49" s="196">
        <v>92.757787748304395</v>
      </c>
      <c r="N49" s="195">
        <v>92.867470151292821</v>
      </c>
      <c r="O49" s="195">
        <v>92.951311159591967</v>
      </c>
      <c r="P49" s="196">
        <v>93.104974075915948</v>
      </c>
      <c r="Q49" s="195">
        <v>93.16645767605678</v>
      </c>
      <c r="R49" s="195">
        <v>93.342181812006913</v>
      </c>
      <c r="S49" s="196">
        <v>93.410366699205625</v>
      </c>
      <c r="T49" s="195">
        <v>93.52295962124181</v>
      </c>
    </row>
    <row r="51" spans="7:20">
      <c r="G51" s="1" t="s">
        <v>311</v>
      </c>
      <c r="H51" s="38"/>
      <c r="I51" s="162"/>
      <c r="J51" s="1"/>
      <c r="K51" s="20"/>
      <c r="M51" s="1"/>
      <c r="N51" s="20"/>
      <c r="P51" s="1"/>
      <c r="Q51" s="20"/>
      <c r="S51" s="1"/>
      <c r="T51" s="187"/>
    </row>
    <row r="52" spans="7:20">
      <c r="G52" s="3" t="s">
        <v>25</v>
      </c>
      <c r="H52" s="210" t="s">
        <v>306</v>
      </c>
      <c r="I52" s="211">
        <f>SUM(I11:I15)</f>
        <v>86573.721722546543</v>
      </c>
      <c r="J52" s="211">
        <f t="shared" ref="J52:T52" si="28">SUM(J11:J15)</f>
        <v>82451.163545282412</v>
      </c>
      <c r="K52" s="211">
        <f t="shared" si="28"/>
        <v>94818.838077074761</v>
      </c>
      <c r="L52" s="211">
        <f t="shared" si="28"/>
        <v>93894.067361065943</v>
      </c>
      <c r="M52" s="211">
        <f t="shared" si="28"/>
        <v>98365.213425878595</v>
      </c>
      <c r="N52" s="211">
        <f t="shared" si="28"/>
        <v>98365.213425878595</v>
      </c>
      <c r="O52" s="211">
        <f t="shared" si="28"/>
        <v>102570.98124082337</v>
      </c>
      <c r="P52" s="211">
        <f t="shared" si="28"/>
        <v>112339.64612090177</v>
      </c>
      <c r="Q52" s="211">
        <f t="shared" si="28"/>
        <v>107455.31368086259</v>
      </c>
      <c r="R52" s="211">
        <f t="shared" si="28"/>
        <v>94914.952279714882</v>
      </c>
      <c r="S52" s="211">
        <f t="shared" si="28"/>
        <v>99434.711912082275</v>
      </c>
      <c r="T52" s="211">
        <f t="shared" si="28"/>
        <v>99434.711912082275</v>
      </c>
    </row>
    <row r="53" spans="7:20">
      <c r="G53" s="3" t="s">
        <v>25</v>
      </c>
      <c r="H53" s="210" t="s">
        <v>83</v>
      </c>
      <c r="I53" s="211">
        <f>SUM(I5:I9)</f>
        <v>25094.816264697285</v>
      </c>
      <c r="J53" s="211">
        <f t="shared" ref="J53:T53" si="29">SUM(J5:J9)</f>
        <v>23899.825013997415</v>
      </c>
      <c r="K53" s="211">
        <f t="shared" si="29"/>
        <v>27484.798766097025</v>
      </c>
      <c r="L53" s="211">
        <f t="shared" si="29"/>
        <v>28094.772555764786</v>
      </c>
      <c r="M53" s="211">
        <f t="shared" si="29"/>
        <v>29432.618867944042</v>
      </c>
      <c r="N53" s="211">
        <f t="shared" si="29"/>
        <v>29432.618867944042</v>
      </c>
      <c r="O53" s="211">
        <f t="shared" si="29"/>
        <v>30719.002670938029</v>
      </c>
      <c r="P53" s="211">
        <f t="shared" si="29"/>
        <v>33644.621972932131</v>
      </c>
      <c r="Q53" s="211">
        <f t="shared" si="29"/>
        <v>32181.812321935089</v>
      </c>
      <c r="R53" s="211">
        <f t="shared" si="29"/>
        <v>32892.080032097954</v>
      </c>
      <c r="S53" s="211">
        <f t="shared" si="29"/>
        <v>34458.369557435923</v>
      </c>
      <c r="T53" s="211">
        <f t="shared" si="29"/>
        <v>34458.369557435923</v>
      </c>
    </row>
    <row r="54" spans="7:20">
      <c r="G54" s="3" t="s">
        <v>25</v>
      </c>
      <c r="H54" s="210" t="s">
        <v>307</v>
      </c>
      <c r="I54" s="211">
        <f>SUM(I13:I15)</f>
        <v>64179.137827642604</v>
      </c>
      <c r="J54" s="211">
        <f t="shared" ref="J54:T54" si="30">SUM(J13:J15)</f>
        <v>61122.988407278681</v>
      </c>
      <c r="K54" s="211">
        <f t="shared" si="30"/>
        <v>70291.436668370472</v>
      </c>
      <c r="L54" s="211">
        <f t="shared" si="30"/>
        <v>71046.754127108827</v>
      </c>
      <c r="M54" s="211">
        <f t="shared" si="30"/>
        <v>74429.932895066391</v>
      </c>
      <c r="N54" s="211">
        <f t="shared" si="30"/>
        <v>74429.932895066391</v>
      </c>
      <c r="O54" s="211">
        <f t="shared" si="30"/>
        <v>78178.470139287921</v>
      </c>
      <c r="P54" s="211">
        <f t="shared" si="30"/>
        <v>85624.038723982012</v>
      </c>
      <c r="Q54" s="211">
        <f t="shared" si="30"/>
        <v>81901.254431634981</v>
      </c>
      <c r="R54" s="211">
        <f t="shared" si="30"/>
        <v>70796.930066606379</v>
      </c>
      <c r="S54" s="211">
        <f t="shared" si="30"/>
        <v>74168.212450730498</v>
      </c>
      <c r="T54" s="211">
        <f t="shared" si="30"/>
        <v>74168.212450730498</v>
      </c>
    </row>
    <row r="55" spans="7:20">
      <c r="G55" s="3" t="s">
        <v>25</v>
      </c>
      <c r="H55" s="210" t="s">
        <v>308</v>
      </c>
      <c r="I55" s="211">
        <f>SUM(I6:I7)</f>
        <v>20629.593547471221</v>
      </c>
      <c r="J55" s="211">
        <f t="shared" ref="J55:T55" si="31">SUM(J6:J7)</f>
        <v>19647.231949972596</v>
      </c>
      <c r="K55" s="211">
        <f t="shared" si="31"/>
        <v>22594.316742468483</v>
      </c>
      <c r="L55" s="211">
        <f t="shared" si="31"/>
        <v>23118.911248592565</v>
      </c>
      <c r="M55" s="211">
        <f t="shared" si="31"/>
        <v>24219.811784239806</v>
      </c>
      <c r="N55" s="211">
        <f t="shared" si="31"/>
        <v>24219.811784239806</v>
      </c>
      <c r="O55" s="211">
        <f t="shared" si="31"/>
        <v>25397.107857937022</v>
      </c>
      <c r="P55" s="211">
        <f t="shared" si="31"/>
        <v>27815.880034883405</v>
      </c>
      <c r="Q55" s="211">
        <f t="shared" si="31"/>
        <v>26606.493946410224</v>
      </c>
      <c r="R55" s="211">
        <f t="shared" si="31"/>
        <v>24365.253497002243</v>
      </c>
      <c r="S55" s="211">
        <f t="shared" si="31"/>
        <v>25525.503663526135</v>
      </c>
      <c r="T55" s="211">
        <f t="shared" si="31"/>
        <v>25525.503663526135</v>
      </c>
    </row>
    <row r="58" spans="7:20">
      <c r="G58" s="1" t="s">
        <v>312</v>
      </c>
      <c r="H58" s="38"/>
      <c r="I58" s="162"/>
      <c r="J58" s="1"/>
      <c r="K58" s="20"/>
      <c r="M58" s="1"/>
      <c r="N58" s="20"/>
      <c r="P58" s="1"/>
      <c r="Q58" s="20"/>
      <c r="S58" s="1"/>
      <c r="T58" s="187"/>
    </row>
    <row r="59" spans="7:20">
      <c r="G59" s="3" t="s">
        <v>25</v>
      </c>
      <c r="H59" s="210" t="s">
        <v>306</v>
      </c>
      <c r="I59" s="211">
        <f>SUM(I26:I30)</f>
        <v>93182.888146976416</v>
      </c>
      <c r="J59" s="211">
        <f t="shared" ref="J59:T59" si="32">SUM(J26:J30)</f>
        <v>88675.249502025181</v>
      </c>
      <c r="K59" s="211">
        <f t="shared" si="32"/>
        <v>101885.54558787888</v>
      </c>
      <c r="L59" s="211">
        <f t="shared" si="32"/>
        <v>100738.08449758057</v>
      </c>
      <c r="M59" s="211">
        <f t="shared" si="32"/>
        <v>105425.91679513162</v>
      </c>
      <c r="N59" s="211">
        <f t="shared" si="32"/>
        <v>105259.06536617638</v>
      </c>
      <c r="O59" s="211">
        <f t="shared" si="32"/>
        <v>109604.8639346853</v>
      </c>
      <c r="P59" s="211">
        <f t="shared" si="32"/>
        <v>119834.65472134587</v>
      </c>
      <c r="Q59" s="211">
        <f t="shared" si="32"/>
        <v>114532.65455090528</v>
      </c>
      <c r="R59" s="211">
        <f t="shared" si="32"/>
        <v>100947.55601381126</v>
      </c>
      <c r="S59" s="211">
        <f t="shared" si="32"/>
        <v>105636.78273132961</v>
      </c>
      <c r="T59" s="211">
        <f t="shared" si="32"/>
        <v>105496.56979333077</v>
      </c>
    </row>
    <row r="60" spans="7:20">
      <c r="G60" s="3" t="s">
        <v>25</v>
      </c>
      <c r="H60" s="210" t="s">
        <v>83</v>
      </c>
      <c r="I60" s="211">
        <f>SUM(I20:I24)</f>
        <v>28027.667475208804</v>
      </c>
      <c r="J60" s="211">
        <f t="shared" ref="J60:T60" si="33">SUM(J20:J24)</f>
        <v>26587.810743494938</v>
      </c>
      <c r="K60" s="211">
        <f t="shared" si="33"/>
        <v>30450.436614669259</v>
      </c>
      <c r="L60" s="211">
        <f t="shared" si="33"/>
        <v>31026.480757676523</v>
      </c>
      <c r="M60" s="211">
        <f t="shared" si="33"/>
        <v>32423.916457646137</v>
      </c>
      <c r="N60" s="211">
        <f t="shared" si="33"/>
        <v>32330.08879742799</v>
      </c>
      <c r="O60" s="211">
        <f t="shared" si="33"/>
        <v>33644.746965689577</v>
      </c>
      <c r="P60" s="211">
        <f t="shared" si="33"/>
        <v>36755.245108438117</v>
      </c>
      <c r="Q60" s="211">
        <f t="shared" si="33"/>
        <v>35019.416163954891</v>
      </c>
      <c r="R60" s="211">
        <f t="shared" si="33"/>
        <v>35816.056848293731</v>
      </c>
      <c r="S60" s="211">
        <f t="shared" si="33"/>
        <v>37430.19910169005</v>
      </c>
      <c r="T60" s="211">
        <f t="shared" si="33"/>
        <v>37242.508116004326</v>
      </c>
    </row>
    <row r="61" spans="7:20">
      <c r="G61" s="3" t="s">
        <v>25</v>
      </c>
      <c r="H61" s="210" t="s">
        <v>307</v>
      </c>
      <c r="I61" s="211">
        <f>SUM(I28:I30)</f>
        <v>69008.579219580584</v>
      </c>
      <c r="J61" s="211">
        <f t="shared" ref="J61:T61" si="34">SUM(J28:J30)</f>
        <v>65652.098142600589</v>
      </c>
      <c r="K61" s="211">
        <f t="shared" si="34"/>
        <v>75419.349251629275</v>
      </c>
      <c r="L61" s="211">
        <f t="shared" si="34"/>
        <v>76117.554761202889</v>
      </c>
      <c r="M61" s="211">
        <f t="shared" si="34"/>
        <v>79653.515565723297</v>
      </c>
      <c r="N61" s="211">
        <f t="shared" si="34"/>
        <v>79524.599260779563</v>
      </c>
      <c r="O61" s="211">
        <f t="shared" si="34"/>
        <v>83394.917986806671</v>
      </c>
      <c r="P61" s="211">
        <f t="shared" si="34"/>
        <v>91194.066505478448</v>
      </c>
      <c r="Q61" s="211">
        <f t="shared" si="34"/>
        <v>87184.924068078137</v>
      </c>
      <c r="R61" s="211">
        <f t="shared" si="34"/>
        <v>75235.872300557996</v>
      </c>
      <c r="S61" s="211">
        <f t="shared" si="34"/>
        <v>78775.982614353241</v>
      </c>
      <c r="T61" s="211">
        <f t="shared" si="34"/>
        <v>78692.765903085194</v>
      </c>
    </row>
    <row r="62" spans="7:20">
      <c r="G62" s="3" t="s">
        <v>25</v>
      </c>
      <c r="H62" s="210" t="s">
        <v>308</v>
      </c>
      <c r="I62" s="211">
        <f>SUM(I21:I22)</f>
        <v>22985.109973719744</v>
      </c>
      <c r="J62" s="211">
        <f t="shared" ref="J62:T62" si="35">SUM(J21:J22)</f>
        <v>21798.821741655469</v>
      </c>
      <c r="K62" s="211">
        <f t="shared" si="35"/>
        <v>24955.70300585989</v>
      </c>
      <c r="L62" s="211">
        <f t="shared" si="35"/>
        <v>25445.283951732137</v>
      </c>
      <c r="M62" s="211">
        <f t="shared" si="35"/>
        <v>26589.477240717599</v>
      </c>
      <c r="N62" s="211">
        <f t="shared" si="35"/>
        <v>26506.936713782779</v>
      </c>
      <c r="O62" s="211">
        <f t="shared" si="35"/>
        <v>27712.684263668343</v>
      </c>
      <c r="P62" s="211">
        <f t="shared" si="35"/>
        <v>30275.824575739571</v>
      </c>
      <c r="Q62" s="211">
        <f t="shared" si="35"/>
        <v>28836.358933184587</v>
      </c>
      <c r="R62" s="211">
        <f t="shared" si="35"/>
        <v>26310.684902694979</v>
      </c>
      <c r="S62" s="211">
        <f t="shared" si="35"/>
        <v>27503.42616787742</v>
      </c>
      <c r="T62" s="211">
        <f t="shared" si="35"/>
        <v>27392.365221594646</v>
      </c>
    </row>
    <row r="71" spans="3:10">
      <c r="C71" s="148"/>
      <c r="D71" s="148"/>
      <c r="E71" s="158" t="s">
        <v>56</v>
      </c>
      <c r="F71" s="148"/>
      <c r="G71" s="148"/>
      <c r="H71" s="147"/>
      <c r="I71" s="147"/>
      <c r="J71" s="150"/>
    </row>
    <row r="72" spans="3:10">
      <c r="C72" s="157"/>
      <c r="D72" s="157"/>
      <c r="E72" s="158" t="s">
        <v>57</v>
      </c>
      <c r="F72" s="148"/>
      <c r="G72" s="148"/>
      <c r="H72" s="147"/>
      <c r="I72" s="147"/>
      <c r="J72" s="150"/>
    </row>
    <row r="73" spans="3:10">
      <c r="E73" s="158" t="s">
        <v>58</v>
      </c>
      <c r="F73" s="148"/>
      <c r="G73" s="148"/>
      <c r="H73" s="147"/>
      <c r="I73" s="147"/>
      <c r="J73" s="150"/>
    </row>
    <row r="74" spans="3:10">
      <c r="E74" s="158" t="s">
        <v>59</v>
      </c>
      <c r="F74" s="148"/>
      <c r="G74" s="148"/>
      <c r="H74" s="147"/>
      <c r="I74" s="147"/>
      <c r="J74" s="150"/>
    </row>
    <row r="75" spans="3:10">
      <c r="F75" s="148"/>
      <c r="G75" s="148"/>
      <c r="H75" s="147"/>
      <c r="I75" s="147"/>
      <c r="J75" s="150"/>
    </row>
  </sheetData>
  <mergeCells count="4">
    <mergeCell ref="Q3:T3"/>
    <mergeCell ref="AH3:AK3"/>
    <mergeCell ref="Q18:T18"/>
    <mergeCell ref="Q33:T33"/>
  </mergeCells>
  <pageMargins left="0.7" right="0.7" top="0.75" bottom="0.75" header="0.3" footer="0.3"/>
  <pageSetup paperSize="9" scale="96" orientation="landscape" horizontalDpi="200" verticalDpi="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3128-78CE-412C-933D-911D58834270}">
  <sheetPr>
    <tabColor rgb="FF51ED94"/>
  </sheetPr>
  <dimension ref="A1:AN76"/>
  <sheetViews>
    <sheetView showGridLines="0" tabSelected="1" zoomScale="145" zoomScaleNormal="145" workbookViewId="0">
      <pane xSplit="8" ySplit="4" topLeftCell="I39" activePane="bottomRight" state="frozen"/>
      <selection pane="topRight" activeCell="G1" sqref="G1"/>
      <selection pane="bottomLeft" activeCell="A5" sqref="A5"/>
      <selection pane="bottomRight" activeCell="L59" sqref="L59"/>
    </sheetView>
  </sheetViews>
  <sheetFormatPr defaultColWidth="9.1796875" defaultRowHeight="14.5"/>
  <cols>
    <col min="1" max="1" width="3" style="1" customWidth="1"/>
    <col min="2" max="2" width="9.453125" style="1" bestFit="1" customWidth="1"/>
    <col min="3" max="7" width="9.1796875" style="1"/>
    <col min="8" max="8" width="2.7265625" style="1" customWidth="1"/>
    <col min="9" max="9" width="9.1796875" style="1" customWidth="1"/>
    <col min="10" max="10" width="10.54296875" style="1" bestFit="1" customWidth="1"/>
    <col min="11" max="11" width="11.26953125" style="1" customWidth="1"/>
    <col min="12" max="12" width="11.26953125" style="20" customWidth="1"/>
    <col min="13" max="14" width="11.26953125" style="1" customWidth="1"/>
    <col min="15" max="15" width="11.26953125" style="20" customWidth="1"/>
    <col min="16" max="17" width="11.26953125" style="1" customWidth="1"/>
    <col min="18" max="18" width="11.26953125" style="20" customWidth="1"/>
    <col min="19" max="20" width="11.26953125" style="1" customWidth="1"/>
    <col min="21" max="21" width="11.26953125" style="20" customWidth="1"/>
    <col min="22" max="23" width="11.26953125" style="1" customWidth="1"/>
    <col min="24" max="24" width="0.453125" style="159" customWidth="1"/>
    <col min="25" max="25" width="9.1796875" style="1" customWidth="1"/>
    <col min="26" max="26" width="10.81640625" style="1" bestFit="1" customWidth="1"/>
    <col min="27" max="27" width="9.54296875" style="1" bestFit="1" customWidth="1"/>
    <col min="28" max="28" width="9.54296875" style="20" bestFit="1" customWidth="1"/>
    <col min="29" max="30" width="9.54296875" style="1" bestFit="1" customWidth="1"/>
    <col min="31" max="31" width="9.54296875" style="20" bestFit="1" customWidth="1"/>
    <col min="32" max="33" width="9.54296875" style="1" bestFit="1" customWidth="1"/>
    <col min="34" max="34" width="9.54296875" style="20" bestFit="1" customWidth="1"/>
    <col min="35" max="36" width="9.54296875" style="1" bestFit="1" customWidth="1"/>
    <col min="37" max="37" width="9.54296875" style="20" bestFit="1" customWidth="1"/>
    <col min="38" max="38" width="9.54296875" style="1" bestFit="1" customWidth="1"/>
    <col min="39" max="39" width="9.1796875" style="38"/>
    <col min="40" max="16384" width="9.1796875" style="1"/>
  </cols>
  <sheetData>
    <row r="1" spans="1:40" ht="23.5">
      <c r="A1" s="16"/>
      <c r="E1" s="38"/>
      <c r="F1" s="38"/>
      <c r="G1" s="38"/>
      <c r="I1" s="16" t="s">
        <v>313</v>
      </c>
      <c r="L1" s="1"/>
      <c r="M1" s="20"/>
      <c r="O1" s="1"/>
      <c r="P1" s="20" t="s">
        <v>297</v>
      </c>
      <c r="R1" s="1"/>
      <c r="S1" s="20"/>
      <c r="T1" s="15" t="s">
        <v>314</v>
      </c>
      <c r="U1" s="14"/>
      <c r="V1" s="20"/>
      <c r="Y1" s="16" t="s">
        <v>296</v>
      </c>
      <c r="AB1" s="1"/>
      <c r="AC1" s="20"/>
      <c r="AE1" s="1"/>
      <c r="AF1" s="145" t="s">
        <v>297</v>
      </c>
      <c r="AH1" s="1"/>
      <c r="AI1" s="20"/>
      <c r="AJ1" s="15" t="s">
        <v>298</v>
      </c>
      <c r="AK1" s="185"/>
      <c r="AL1" s="20"/>
      <c r="AM1" s="15" t="s">
        <v>60</v>
      </c>
      <c r="AN1" s="184"/>
    </row>
    <row r="2" spans="1:40" ht="23.5">
      <c r="A2" s="16"/>
      <c r="E2" s="38" t="s">
        <v>315</v>
      </c>
      <c r="F2" s="38"/>
      <c r="G2" s="38" t="s">
        <v>316</v>
      </c>
      <c r="I2" s="16"/>
      <c r="L2" s="1"/>
      <c r="M2" s="20"/>
      <c r="O2" s="1"/>
      <c r="P2" s="20"/>
      <c r="R2" s="1"/>
      <c r="S2" s="20"/>
      <c r="T2" s="15" t="s">
        <v>48</v>
      </c>
      <c r="U2" s="14"/>
      <c r="V2" s="20"/>
      <c r="Y2" s="16"/>
      <c r="AB2" s="1"/>
      <c r="AC2" s="20"/>
      <c r="AE2" s="1"/>
      <c r="AF2" s="20"/>
      <c r="AH2" s="1"/>
      <c r="AI2" s="20"/>
      <c r="AJ2" s="15" t="s">
        <v>61</v>
      </c>
      <c r="AK2" s="184"/>
      <c r="AL2" s="20"/>
    </row>
    <row r="3" spans="1:40">
      <c r="B3" s="27" t="s">
        <v>49</v>
      </c>
      <c r="C3" s="27" t="s">
        <v>6</v>
      </c>
      <c r="D3" s="27" t="s">
        <v>7</v>
      </c>
      <c r="E3" s="27" t="s">
        <v>5</v>
      </c>
      <c r="F3" s="27" t="s">
        <v>317</v>
      </c>
      <c r="G3" s="27" t="s">
        <v>5</v>
      </c>
      <c r="I3" s="151" t="s">
        <v>318</v>
      </c>
      <c r="L3" s="1"/>
      <c r="M3" s="20"/>
      <c r="O3" s="1"/>
      <c r="P3" s="20"/>
      <c r="R3" s="1"/>
      <c r="S3" s="216" t="s">
        <v>319</v>
      </c>
      <c r="T3" s="216"/>
      <c r="U3" s="216"/>
      <c r="V3" s="216"/>
      <c r="Y3" s="1" t="s">
        <v>302</v>
      </c>
      <c r="AA3" s="179"/>
      <c r="AB3" s="179"/>
      <c r="AC3" s="20"/>
      <c r="AE3" s="1"/>
      <c r="AF3" s="20"/>
      <c r="AH3" s="1"/>
      <c r="AI3" s="216"/>
      <c r="AJ3" s="216"/>
      <c r="AK3" s="216"/>
      <c r="AL3" s="216"/>
      <c r="AM3" s="1"/>
    </row>
    <row r="4" spans="1:40" ht="15" thickBot="1">
      <c r="B4" s="18" t="s">
        <v>320</v>
      </c>
      <c r="C4" s="18" t="s">
        <v>321</v>
      </c>
      <c r="D4" s="18" t="s">
        <v>322</v>
      </c>
      <c r="E4" s="134" t="s">
        <v>323</v>
      </c>
      <c r="F4" s="18" t="s">
        <v>324</v>
      </c>
      <c r="G4" s="213">
        <v>45900</v>
      </c>
      <c r="I4" s="13" t="s">
        <v>303</v>
      </c>
      <c r="J4" s="45" t="s">
        <v>13</v>
      </c>
      <c r="K4" s="45" t="s">
        <v>14</v>
      </c>
      <c r="L4" s="45" t="s">
        <v>15</v>
      </c>
      <c r="M4" s="45" t="s">
        <v>16</v>
      </c>
      <c r="N4" s="45" t="s">
        <v>17</v>
      </c>
      <c r="O4" s="45" t="s">
        <v>18</v>
      </c>
      <c r="P4" s="45" t="s">
        <v>19</v>
      </c>
      <c r="Q4" s="45" t="s">
        <v>20</v>
      </c>
      <c r="R4" s="45" t="s">
        <v>21</v>
      </c>
      <c r="S4" s="45" t="s">
        <v>22</v>
      </c>
      <c r="T4" s="45" t="s">
        <v>23</v>
      </c>
      <c r="U4" s="45" t="s">
        <v>24</v>
      </c>
      <c r="V4" s="45" t="s">
        <v>10</v>
      </c>
      <c r="Y4" s="13" t="s">
        <v>52</v>
      </c>
      <c r="Z4" s="13" t="s">
        <v>13</v>
      </c>
      <c r="AA4" s="13" t="s">
        <v>14</v>
      </c>
      <c r="AB4" s="13" t="s">
        <v>15</v>
      </c>
      <c r="AC4" s="45" t="s">
        <v>16</v>
      </c>
      <c r="AD4" s="13" t="s">
        <v>17</v>
      </c>
      <c r="AE4" s="13" t="s">
        <v>18</v>
      </c>
      <c r="AF4" s="45" t="s">
        <v>19</v>
      </c>
      <c r="AG4" s="13" t="s">
        <v>20</v>
      </c>
      <c r="AH4" s="13" t="s">
        <v>21</v>
      </c>
      <c r="AI4" s="21" t="s">
        <v>22</v>
      </c>
      <c r="AJ4" s="13" t="s">
        <v>23</v>
      </c>
      <c r="AK4" s="13" t="s">
        <v>24</v>
      </c>
      <c r="AL4" s="21" t="s">
        <v>10</v>
      </c>
    </row>
    <row r="5" spans="1:40" ht="15" thickTop="1">
      <c r="B5" s="123">
        <v>72.08</v>
      </c>
      <c r="C5" s="124">
        <v>78.650000000000006</v>
      </c>
      <c r="D5" s="189">
        <v>74.97</v>
      </c>
      <c r="E5" s="125">
        <v>87.67</v>
      </c>
      <c r="F5" s="189">
        <v>84.04</v>
      </c>
      <c r="G5" s="125">
        <v>73.77</v>
      </c>
      <c r="I5" s="9"/>
      <c r="J5" s="29" t="s">
        <v>26</v>
      </c>
      <c r="K5" s="140">
        <v>1869.6586866806745</v>
      </c>
      <c r="L5" s="140">
        <v>1780.6273206482613</v>
      </c>
      <c r="M5" s="140">
        <v>2047.7214187455006</v>
      </c>
      <c r="N5" s="140">
        <v>1841.0027692165295</v>
      </c>
      <c r="O5" s="140">
        <v>1928.66956775065</v>
      </c>
      <c r="P5" s="140">
        <v>1928.66956775065</v>
      </c>
      <c r="Q5" s="140">
        <v>1812.9921926426489</v>
      </c>
      <c r="R5" s="140">
        <v>1985.6581157514727</v>
      </c>
      <c r="S5" s="140">
        <v>1899.3251541970606</v>
      </c>
      <c r="T5" s="140">
        <v>1840.879388027698</v>
      </c>
      <c r="U5" s="140">
        <v>1928.5403112671124</v>
      </c>
      <c r="V5" s="140">
        <v>1928.5403112671124</v>
      </c>
      <c r="Y5" s="12"/>
      <c r="Z5" s="11" t="s">
        <v>26</v>
      </c>
      <c r="AA5" s="201">
        <v>70</v>
      </c>
      <c r="AB5" s="201">
        <v>71</v>
      </c>
      <c r="AC5" s="201">
        <v>72</v>
      </c>
      <c r="AD5" s="201">
        <v>73</v>
      </c>
      <c r="AE5" s="201">
        <v>75</v>
      </c>
      <c r="AF5" s="201">
        <v>77</v>
      </c>
      <c r="AG5" s="201">
        <v>78</v>
      </c>
      <c r="AH5" s="201">
        <v>79</v>
      </c>
      <c r="AI5" s="201">
        <v>80</v>
      </c>
      <c r="AJ5" s="201">
        <v>81</v>
      </c>
      <c r="AK5" s="201">
        <v>83</v>
      </c>
      <c r="AL5" s="201">
        <v>85</v>
      </c>
    </row>
    <row r="6" spans="1:40">
      <c r="B6" s="126">
        <v>89.84</v>
      </c>
      <c r="C6" s="127">
        <v>91.3</v>
      </c>
      <c r="D6" s="190">
        <v>93.09</v>
      </c>
      <c r="E6" s="128">
        <v>89.64</v>
      </c>
      <c r="F6" s="190">
        <v>91.88</v>
      </c>
      <c r="G6" s="128">
        <v>94.48</v>
      </c>
      <c r="I6" s="9"/>
      <c r="J6" s="8" t="s">
        <v>27</v>
      </c>
      <c r="K6" s="140">
        <v>2615.5428206629858</v>
      </c>
      <c r="L6" s="140">
        <v>2490.9931625361769</v>
      </c>
      <c r="M6" s="140">
        <v>2864.6421369166028</v>
      </c>
      <c r="N6" s="140">
        <v>2575.6206631845021</v>
      </c>
      <c r="O6" s="140">
        <v>2698.2692661932879</v>
      </c>
      <c r="P6" s="140">
        <v>2698.2692661932879</v>
      </c>
      <c r="Q6" s="140">
        <v>2536.2374424716254</v>
      </c>
      <c r="R6" s="140">
        <v>2777.7838655641599</v>
      </c>
      <c r="S6" s="140">
        <v>2657.0106540178926</v>
      </c>
      <c r="T6" s="140">
        <v>2575.1820130427341</v>
      </c>
      <c r="U6" s="140">
        <v>2697.8097279495305</v>
      </c>
      <c r="V6" s="140">
        <v>2697.8097279495305</v>
      </c>
      <c r="W6" s="39"/>
      <c r="X6" s="160"/>
      <c r="Y6" s="9"/>
      <c r="Z6" s="8" t="s">
        <v>27</v>
      </c>
      <c r="AA6" s="202">
        <v>92.5</v>
      </c>
      <c r="AB6" s="202">
        <v>92.8</v>
      </c>
      <c r="AC6" s="202">
        <v>93</v>
      </c>
      <c r="AD6" s="202">
        <v>93.1</v>
      </c>
      <c r="AE6" s="202">
        <v>93.2</v>
      </c>
      <c r="AF6" s="202">
        <v>93.4</v>
      </c>
      <c r="AG6" s="202">
        <v>93.5</v>
      </c>
      <c r="AH6" s="202">
        <v>93.6</v>
      </c>
      <c r="AI6" s="202">
        <v>93.7</v>
      </c>
      <c r="AJ6" s="202">
        <v>93.8</v>
      </c>
      <c r="AK6" s="202">
        <v>93.9</v>
      </c>
      <c r="AL6" s="202">
        <v>94</v>
      </c>
    </row>
    <row r="7" spans="1:40">
      <c r="B7" s="126">
        <v>87.94</v>
      </c>
      <c r="C7" s="127">
        <v>89.52</v>
      </c>
      <c r="D7" s="190">
        <v>85.81</v>
      </c>
      <c r="E7" s="128">
        <v>93.37</v>
      </c>
      <c r="F7" s="190">
        <v>92.53</v>
      </c>
      <c r="G7" s="128">
        <v>89.87</v>
      </c>
      <c r="I7" s="9"/>
      <c r="J7" s="8" t="s">
        <v>28</v>
      </c>
      <c r="K7" s="140">
        <v>4216.1856851198027</v>
      </c>
      <c r="L7" s="140">
        <v>4015.4149382093369</v>
      </c>
      <c r="M7" s="140">
        <v>4617.7271789407378</v>
      </c>
      <c r="N7" s="140">
        <v>4165.5379524841646</v>
      </c>
      <c r="O7" s="140">
        <v>4363.8969026024588</v>
      </c>
      <c r="P7" s="140">
        <v>4363.8969026024588</v>
      </c>
      <c r="Q7" s="140">
        <v>4083.4599919491252</v>
      </c>
      <c r="R7" s="140">
        <v>4472.3609435633271</v>
      </c>
      <c r="S7" s="140">
        <v>4277.9104677562264</v>
      </c>
      <c r="T7" s="140">
        <v>4131.0092960127076</v>
      </c>
      <c r="U7" s="140">
        <v>4327.7240243942642</v>
      </c>
      <c r="V7" s="140">
        <v>4327.7240243942642</v>
      </c>
      <c r="W7" s="39"/>
      <c r="X7" s="160"/>
      <c r="Y7" s="9"/>
      <c r="Z7" s="8" t="s">
        <v>28</v>
      </c>
      <c r="AA7" s="202">
        <v>85.5</v>
      </c>
      <c r="AB7" s="202">
        <v>86</v>
      </c>
      <c r="AC7" s="202">
        <v>87</v>
      </c>
      <c r="AD7" s="202">
        <v>88</v>
      </c>
      <c r="AE7" s="202">
        <v>90</v>
      </c>
      <c r="AF7" s="202">
        <v>91.5</v>
      </c>
      <c r="AG7" s="202">
        <v>92.5</v>
      </c>
      <c r="AH7" s="202">
        <v>92.8</v>
      </c>
      <c r="AI7" s="202">
        <v>92.9</v>
      </c>
      <c r="AJ7" s="202">
        <v>93</v>
      </c>
      <c r="AK7" s="202">
        <v>93.5</v>
      </c>
      <c r="AL7" s="202">
        <v>93.5</v>
      </c>
    </row>
    <row r="8" spans="1:40">
      <c r="B8" s="126">
        <v>89.51</v>
      </c>
      <c r="C8" s="129">
        <v>88.11</v>
      </c>
      <c r="D8" s="191">
        <v>85.6</v>
      </c>
      <c r="E8" s="128">
        <v>89.01</v>
      </c>
      <c r="F8" s="191">
        <v>93.42</v>
      </c>
      <c r="G8" s="128">
        <v>92.51</v>
      </c>
      <c r="I8" s="9"/>
      <c r="J8" s="8" t="s">
        <v>29</v>
      </c>
      <c r="K8" s="140">
        <v>711.08194178046836</v>
      </c>
      <c r="L8" s="140">
        <v>677.22089693377927</v>
      </c>
      <c r="M8" s="140">
        <v>778.80403147384618</v>
      </c>
      <c r="N8" s="140">
        <v>700.20963179827697</v>
      </c>
      <c r="O8" s="140">
        <v>733.55294759819503</v>
      </c>
      <c r="P8" s="140">
        <v>733.55294759819503</v>
      </c>
      <c r="Q8" s="140">
        <v>689.51027368591633</v>
      </c>
      <c r="R8" s="140">
        <v>755.17791879886056</v>
      </c>
      <c r="S8" s="140">
        <v>722.34409624238856</v>
      </c>
      <c r="T8" s="140">
        <v>700.04489785088253</v>
      </c>
      <c r="U8" s="140">
        <v>733.38036917711509</v>
      </c>
      <c r="V8" s="140">
        <v>733.38036917711509</v>
      </c>
      <c r="Y8" s="9"/>
      <c r="Z8" s="8" t="s">
        <v>29</v>
      </c>
      <c r="AA8" s="202">
        <v>90</v>
      </c>
      <c r="AB8" s="202">
        <v>90.5</v>
      </c>
      <c r="AC8" s="202">
        <v>91</v>
      </c>
      <c r="AD8" s="202">
        <v>91.5</v>
      </c>
      <c r="AE8" s="202">
        <v>91.6</v>
      </c>
      <c r="AF8" s="202">
        <v>91.7</v>
      </c>
      <c r="AG8" s="202">
        <v>91.9</v>
      </c>
      <c r="AH8" s="202">
        <v>92</v>
      </c>
      <c r="AI8" s="202">
        <v>92.1</v>
      </c>
      <c r="AJ8" s="202">
        <v>92.1</v>
      </c>
      <c r="AK8" s="202">
        <v>92.2</v>
      </c>
      <c r="AL8" s="202">
        <v>92.3</v>
      </c>
    </row>
    <row r="9" spans="1:40">
      <c r="B9" s="126">
        <v>92.42</v>
      </c>
      <c r="C9" s="129">
        <v>86.56</v>
      </c>
      <c r="D9" s="191">
        <v>92.14</v>
      </c>
      <c r="E9" s="128">
        <v>91.87</v>
      </c>
      <c r="F9" s="191">
        <v>91.08</v>
      </c>
      <c r="G9" s="128">
        <v>86.91</v>
      </c>
      <c r="I9" s="9"/>
      <c r="J9" s="8" t="s">
        <v>30</v>
      </c>
      <c r="K9" s="140">
        <v>10214.861531383343</v>
      </c>
      <c r="L9" s="140">
        <v>9728.439553698423</v>
      </c>
      <c r="M9" s="140">
        <v>11187.705486753186</v>
      </c>
      <c r="N9" s="140">
        <v>10057.941033340063</v>
      </c>
      <c r="O9" s="140">
        <v>10536.890606356257</v>
      </c>
      <c r="P9" s="140">
        <v>10536.890606356257</v>
      </c>
      <c r="Q9" s="140">
        <v>9905.3101026573586</v>
      </c>
      <c r="R9" s="140">
        <v>10848.672969577106</v>
      </c>
      <c r="S9" s="140">
        <v>10376.991536117233</v>
      </c>
      <c r="T9" s="140">
        <v>10057.73554848909</v>
      </c>
      <c r="U9" s="140">
        <v>10536.67533651238</v>
      </c>
      <c r="V9" s="140">
        <v>10536.67533651238</v>
      </c>
      <c r="W9" s="39"/>
      <c r="X9" s="160"/>
      <c r="Y9" s="9"/>
      <c r="Z9" s="8" t="s">
        <v>30</v>
      </c>
      <c r="AA9" s="202">
        <v>86.5</v>
      </c>
      <c r="AB9" s="202">
        <v>86.5</v>
      </c>
      <c r="AC9" s="202">
        <v>87</v>
      </c>
      <c r="AD9" s="202">
        <v>88</v>
      </c>
      <c r="AE9" s="202">
        <v>88</v>
      </c>
      <c r="AF9" s="202">
        <v>89.5</v>
      </c>
      <c r="AG9" s="202">
        <v>89.5</v>
      </c>
      <c r="AH9" s="202">
        <v>90</v>
      </c>
      <c r="AI9" s="202">
        <v>91.5</v>
      </c>
      <c r="AJ9" s="202">
        <v>92</v>
      </c>
      <c r="AK9" s="202">
        <v>92</v>
      </c>
      <c r="AL9" s="202">
        <v>92.5</v>
      </c>
      <c r="AM9" s="186" t="s">
        <v>53</v>
      </c>
    </row>
    <row r="10" spans="1:40">
      <c r="B10" s="126">
        <v>83.03</v>
      </c>
      <c r="C10" s="129">
        <v>83.51</v>
      </c>
      <c r="D10" s="191">
        <v>81.650000000000006</v>
      </c>
      <c r="E10" s="128">
        <v>80.53</v>
      </c>
      <c r="F10" s="191">
        <v>84.56</v>
      </c>
      <c r="G10" s="128">
        <v>84.79</v>
      </c>
      <c r="I10" s="9"/>
      <c r="J10" s="8" t="s">
        <v>31</v>
      </c>
      <c r="K10" s="140">
        <v>1404.4095712473984</v>
      </c>
      <c r="L10" s="140">
        <v>1337.5329249975227</v>
      </c>
      <c r="M10" s="140">
        <v>1538.1628637471517</v>
      </c>
      <c r="N10" s="140">
        <v>1394.1572129810004</v>
      </c>
      <c r="O10" s="140">
        <v>1460.5456516943809</v>
      </c>
      <c r="P10" s="140">
        <v>1460.5456516943809</v>
      </c>
      <c r="Q10" s="140">
        <v>1360.6627921686538</v>
      </c>
      <c r="R10" s="140">
        <v>1490.2497247561446</v>
      </c>
      <c r="S10" s="140">
        <v>1425.4562584623989</v>
      </c>
      <c r="T10" s="140">
        <v>1380.5862286541314</v>
      </c>
      <c r="U10" s="140">
        <v>1446.3284300186137</v>
      </c>
      <c r="V10" s="140">
        <v>1446.3284300186137</v>
      </c>
      <c r="Y10" s="9"/>
      <c r="Z10" s="8" t="s">
        <v>31</v>
      </c>
      <c r="AA10" s="202">
        <v>83.5</v>
      </c>
      <c r="AB10" s="202">
        <v>83.5</v>
      </c>
      <c r="AC10" s="202">
        <v>83.6</v>
      </c>
      <c r="AD10" s="202">
        <v>83.7</v>
      </c>
      <c r="AE10" s="202">
        <v>83.8</v>
      </c>
      <c r="AF10" s="202">
        <v>83.9</v>
      </c>
      <c r="AG10" s="202">
        <v>84</v>
      </c>
      <c r="AH10" s="202">
        <v>84.2</v>
      </c>
      <c r="AI10" s="202">
        <v>84.5</v>
      </c>
      <c r="AJ10" s="202">
        <v>85</v>
      </c>
      <c r="AK10" s="202">
        <v>86</v>
      </c>
      <c r="AL10" s="202">
        <v>87</v>
      </c>
    </row>
    <row r="11" spans="1:40">
      <c r="B11" s="126">
        <v>94.02</v>
      </c>
      <c r="C11" s="129">
        <v>94.54</v>
      </c>
      <c r="D11" s="191">
        <v>95.42</v>
      </c>
      <c r="E11" s="128">
        <v>94.48</v>
      </c>
      <c r="F11" s="191">
        <v>95.65</v>
      </c>
      <c r="G11" s="128">
        <v>93.97</v>
      </c>
      <c r="I11" s="9"/>
      <c r="J11" s="8" t="s">
        <v>32</v>
      </c>
      <c r="K11" s="140">
        <v>18668.804660053895</v>
      </c>
      <c r="L11" s="140">
        <v>17779.81396195609</v>
      </c>
      <c r="M11" s="140">
        <v>20446.786056249501</v>
      </c>
      <c r="N11" s="140">
        <v>18383.929095585725</v>
      </c>
      <c r="O11" s="140">
        <v>19259.354290613614</v>
      </c>
      <c r="P11" s="140">
        <v>19259.354290613614</v>
      </c>
      <c r="Q11" s="140">
        <v>18102.842175769463</v>
      </c>
      <c r="R11" s="140">
        <v>19826.922382985609</v>
      </c>
      <c r="S11" s="140">
        <v>18964.882279377529</v>
      </c>
      <c r="T11" s="140">
        <v>18381.153978816288</v>
      </c>
      <c r="U11" s="140">
        <v>19256.447025426587</v>
      </c>
      <c r="V11" s="140">
        <v>19256.447025426587</v>
      </c>
      <c r="Y11" s="9"/>
      <c r="Z11" s="8" t="s">
        <v>32</v>
      </c>
      <c r="AA11" s="202">
        <v>93.5</v>
      </c>
      <c r="AB11" s="202">
        <v>93.5</v>
      </c>
      <c r="AC11" s="202">
        <v>93.7</v>
      </c>
      <c r="AD11" s="202">
        <v>93.8</v>
      </c>
      <c r="AE11" s="202">
        <v>93.9</v>
      </c>
      <c r="AF11" s="202">
        <v>94</v>
      </c>
      <c r="AG11" s="202">
        <v>94.1</v>
      </c>
      <c r="AH11" s="202">
        <v>94.3</v>
      </c>
      <c r="AI11" s="202">
        <v>94.5</v>
      </c>
      <c r="AJ11" s="202">
        <v>94.7</v>
      </c>
      <c r="AK11" s="202">
        <v>94.8</v>
      </c>
      <c r="AL11" s="202">
        <v>95</v>
      </c>
    </row>
    <row r="12" spans="1:40">
      <c r="B12" s="126">
        <v>94.44</v>
      </c>
      <c r="C12" s="129">
        <v>88.23</v>
      </c>
      <c r="D12" s="191">
        <v>91.17</v>
      </c>
      <c r="E12" s="128">
        <v>92.15</v>
      </c>
      <c r="F12" s="191">
        <v>93.23</v>
      </c>
      <c r="G12" s="128">
        <v>92.18</v>
      </c>
      <c r="I12" s="9"/>
      <c r="J12" s="8" t="s">
        <v>33</v>
      </c>
      <c r="K12" s="140">
        <v>8166.5838265055099</v>
      </c>
      <c r="L12" s="140">
        <v>7777.6988823861993</v>
      </c>
      <c r="M12" s="140">
        <v>8944.3537147441311</v>
      </c>
      <c r="N12" s="140">
        <v>8056.5965724971693</v>
      </c>
      <c r="O12" s="140">
        <v>8440.2440283303677</v>
      </c>
      <c r="P12" s="140">
        <v>8440.2440283303677</v>
      </c>
      <c r="Q12" s="140">
        <v>7921.8986786109881</v>
      </c>
      <c r="R12" s="140">
        <v>8676.3652194310835</v>
      </c>
      <c r="S12" s="140">
        <v>8299.1319490210335</v>
      </c>
      <c r="T12" s="140">
        <v>8026.2367150600257</v>
      </c>
      <c r="U12" s="140">
        <v>8408.43846339622</v>
      </c>
      <c r="V12" s="140">
        <v>8408.43846339622</v>
      </c>
      <c r="W12" s="39"/>
      <c r="X12" s="160"/>
      <c r="Y12" s="9"/>
      <c r="Z12" s="8" t="s">
        <v>33</v>
      </c>
      <c r="AA12" s="202">
        <v>92</v>
      </c>
      <c r="AB12" s="202">
        <v>92.1</v>
      </c>
      <c r="AC12" s="202">
        <v>92.2</v>
      </c>
      <c r="AD12" s="202">
        <v>92.3</v>
      </c>
      <c r="AE12" s="202">
        <v>92.4</v>
      </c>
      <c r="AF12" s="202">
        <v>92.5</v>
      </c>
      <c r="AG12" s="202">
        <v>92.6</v>
      </c>
      <c r="AH12" s="202">
        <v>92.6</v>
      </c>
      <c r="AI12" s="202">
        <v>92.7</v>
      </c>
      <c r="AJ12" s="202">
        <v>92.8</v>
      </c>
      <c r="AK12" s="202">
        <v>92.8</v>
      </c>
      <c r="AL12" s="202">
        <v>93</v>
      </c>
    </row>
    <row r="13" spans="1:40">
      <c r="B13" s="130">
        <v>94.73</v>
      </c>
      <c r="C13" s="129">
        <v>93.32</v>
      </c>
      <c r="D13" s="191">
        <v>94.33</v>
      </c>
      <c r="E13" s="128">
        <v>93.89</v>
      </c>
      <c r="F13" s="191">
        <v>94.54</v>
      </c>
      <c r="G13" s="128">
        <v>92.32</v>
      </c>
      <c r="I13" s="9"/>
      <c r="J13" s="8" t="s">
        <v>35</v>
      </c>
      <c r="K13" s="140">
        <v>291.27398366633224</v>
      </c>
      <c r="L13" s="140">
        <v>277.40379396793543</v>
      </c>
      <c r="M13" s="140">
        <v>319.01436306312576</v>
      </c>
      <c r="N13" s="140">
        <v>286.79284545608095</v>
      </c>
      <c r="O13" s="140">
        <v>300.44964762065621</v>
      </c>
      <c r="P13" s="140">
        <v>300.44964762065621</v>
      </c>
      <c r="Q13" s="140">
        <v>282.44749931280694</v>
      </c>
      <c r="R13" s="140">
        <v>309.34726115212197</v>
      </c>
      <c r="S13" s="140">
        <v>295.89738023246446</v>
      </c>
      <c r="T13" s="140">
        <v>286.79284545608095</v>
      </c>
      <c r="U13" s="140">
        <v>300.44964762065621</v>
      </c>
      <c r="V13" s="140">
        <v>300.44964762065621</v>
      </c>
      <c r="W13" s="39"/>
      <c r="X13" s="160"/>
      <c r="Y13" s="9"/>
      <c r="Z13" s="8" t="s">
        <v>35</v>
      </c>
      <c r="AA13" s="143">
        <v>93</v>
      </c>
      <c r="AB13" s="143">
        <v>93</v>
      </c>
      <c r="AC13" s="143">
        <v>93</v>
      </c>
      <c r="AD13" s="143">
        <v>93</v>
      </c>
      <c r="AE13" s="143">
        <v>93</v>
      </c>
      <c r="AF13" s="143">
        <v>93</v>
      </c>
      <c r="AG13" s="143">
        <v>93</v>
      </c>
      <c r="AH13" s="143">
        <v>93</v>
      </c>
      <c r="AI13" s="143">
        <v>93</v>
      </c>
      <c r="AJ13" s="143">
        <v>93</v>
      </c>
      <c r="AK13" s="143">
        <v>93</v>
      </c>
      <c r="AL13" s="143">
        <v>93</v>
      </c>
    </row>
    <row r="14" spans="1:40">
      <c r="B14" s="126">
        <v>93.77</v>
      </c>
      <c r="C14" s="129">
        <v>94.74</v>
      </c>
      <c r="D14" s="191">
        <v>93.56</v>
      </c>
      <c r="E14" s="194">
        <v>94.11</v>
      </c>
      <c r="F14" s="191">
        <v>95.67</v>
      </c>
      <c r="G14" s="194">
        <v>92.86</v>
      </c>
      <c r="I14" s="9"/>
      <c r="J14" s="8" t="s">
        <v>37</v>
      </c>
      <c r="K14" s="140">
        <v>39999.928536040061</v>
      </c>
      <c r="L14" s="140">
        <v>38095.170034323877</v>
      </c>
      <c r="M14" s="140">
        <v>43809.44553947245</v>
      </c>
      <c r="N14" s="140">
        <v>39393.947864217524</v>
      </c>
      <c r="O14" s="140">
        <v>41269.850143465963</v>
      </c>
      <c r="P14" s="140">
        <v>41269.850143465963</v>
      </c>
      <c r="Q14" s="140">
        <v>38803.166355357447</v>
      </c>
      <c r="R14" s="140">
        <v>42498.70600824862</v>
      </c>
      <c r="S14" s="140">
        <v>40650.936181803045</v>
      </c>
      <c r="T14" s="140">
        <v>39422.278152176361</v>
      </c>
      <c r="U14" s="140">
        <v>41299.529492756177</v>
      </c>
      <c r="V14" s="140">
        <v>41299.529492756177</v>
      </c>
      <c r="W14" s="41"/>
      <c r="X14" s="161"/>
      <c r="Y14" s="9"/>
      <c r="Z14" s="8" t="s">
        <v>37</v>
      </c>
      <c r="AA14" s="143">
        <v>93.5</v>
      </c>
      <c r="AB14" s="143">
        <v>93.5</v>
      </c>
      <c r="AC14" s="143">
        <v>93.5</v>
      </c>
      <c r="AD14" s="143">
        <v>93.6</v>
      </c>
      <c r="AE14" s="143">
        <v>93.6</v>
      </c>
      <c r="AF14" s="143">
        <v>93.7</v>
      </c>
      <c r="AG14" s="143">
        <v>93.8</v>
      </c>
      <c r="AH14" s="143">
        <v>94</v>
      </c>
      <c r="AI14" s="143">
        <v>94.1</v>
      </c>
      <c r="AJ14" s="143">
        <v>94.3</v>
      </c>
      <c r="AK14" s="143">
        <v>94.4</v>
      </c>
      <c r="AL14" s="143">
        <v>94.5</v>
      </c>
      <c r="AM14" s="144" t="s">
        <v>54</v>
      </c>
    </row>
    <row r="15" spans="1:40">
      <c r="B15" s="131">
        <v>94.1</v>
      </c>
      <c r="C15" s="132">
        <v>92.85</v>
      </c>
      <c r="D15" s="192">
        <v>94</v>
      </c>
      <c r="E15" s="133">
        <v>92.51</v>
      </c>
      <c r="F15" s="192">
        <v>94.19</v>
      </c>
      <c r="G15" s="133">
        <v>94.04</v>
      </c>
      <c r="I15" s="28"/>
      <c r="J15" s="5" t="s">
        <v>38</v>
      </c>
      <c r="K15" s="140">
        <v>39560.947224407195</v>
      </c>
      <c r="L15" s="140">
        <v>37677.09259467353</v>
      </c>
      <c r="M15" s="140">
        <v>43328.656483874554</v>
      </c>
      <c r="N15" s="140">
        <v>38952.400805115249</v>
      </c>
      <c r="O15" s="140">
        <v>40807.277033930259</v>
      </c>
      <c r="P15" s="140">
        <v>40807.277033930259</v>
      </c>
      <c r="Q15" s="140">
        <v>38385.355124943882</v>
      </c>
      <c r="R15" s="140">
        <v>42041.103232081397</v>
      </c>
      <c r="S15" s="140">
        <v>40213.229178512644</v>
      </c>
      <c r="T15" s="140">
        <v>39151.857039574301</v>
      </c>
      <c r="U15" s="140">
        <v>41016.231184315933</v>
      </c>
      <c r="V15" s="140">
        <v>41016.231184315933</v>
      </c>
      <c r="W15" s="41"/>
      <c r="X15" s="161"/>
      <c r="Y15" s="6"/>
      <c r="Z15" s="5" t="s">
        <v>38</v>
      </c>
      <c r="AA15" s="214">
        <v>93</v>
      </c>
      <c r="AB15" s="214">
        <v>93.1</v>
      </c>
      <c r="AC15" s="143">
        <v>93.3</v>
      </c>
      <c r="AD15" s="143">
        <v>93.5</v>
      </c>
      <c r="AE15" s="143">
        <v>93.6</v>
      </c>
      <c r="AF15" s="143">
        <v>93.7</v>
      </c>
      <c r="AG15" s="143">
        <v>93.8</v>
      </c>
      <c r="AH15" s="143">
        <v>93.8</v>
      </c>
      <c r="AI15" s="143">
        <v>93.9</v>
      </c>
      <c r="AJ15" s="143">
        <v>93.9</v>
      </c>
      <c r="AK15" s="143">
        <v>94</v>
      </c>
      <c r="AL15" s="143">
        <v>94.5</v>
      </c>
    </row>
    <row r="16" spans="1:40">
      <c r="B16" s="137">
        <v>92.454733649000445</v>
      </c>
      <c r="C16" s="135">
        <v>91.34</v>
      </c>
      <c r="D16" s="193">
        <v>92.978025849404901</v>
      </c>
      <c r="E16" s="136">
        <v>92.626164545216781</v>
      </c>
      <c r="F16" s="193">
        <v>94.244966919944233</v>
      </c>
      <c r="G16" s="136">
        <v>92.398188145934483</v>
      </c>
      <c r="I16" s="30" t="s">
        <v>25</v>
      </c>
      <c r="J16" s="3" t="s">
        <v>39</v>
      </c>
      <c r="K16" s="141">
        <f>SUM(K5:K15)</f>
        <v>127719.27846754766</v>
      </c>
      <c r="L16" s="141">
        <f t="shared" ref="L16:V16" si="0">SUM(L5:L15)</f>
        <v>121637.40806433113</v>
      </c>
      <c r="M16" s="141">
        <f t="shared" si="0"/>
        <v>139883.01927398078</v>
      </c>
      <c r="N16" s="141">
        <f t="shared" si="0"/>
        <v>125808.13644587628</v>
      </c>
      <c r="O16" s="141">
        <f t="shared" si="0"/>
        <v>131799.0000861561</v>
      </c>
      <c r="P16" s="141">
        <f t="shared" si="0"/>
        <v>131799.0000861561</v>
      </c>
      <c r="Q16" s="141">
        <f t="shared" si="0"/>
        <v>123883.88262956991</v>
      </c>
      <c r="R16" s="141">
        <f t="shared" si="0"/>
        <v>135682.3476419099</v>
      </c>
      <c r="S16" s="141">
        <f t="shared" si="0"/>
        <v>129783.11513573991</v>
      </c>
      <c r="T16" s="141">
        <f t="shared" si="0"/>
        <v>125953.7561031603</v>
      </c>
      <c r="U16" s="141">
        <f t="shared" si="0"/>
        <v>131951.55401283459</v>
      </c>
      <c r="V16" s="141">
        <f t="shared" si="0"/>
        <v>131951.55401283459</v>
      </c>
      <c r="Y16" s="3" t="s">
        <v>25</v>
      </c>
      <c r="Z16" s="3" t="s">
        <v>39</v>
      </c>
      <c r="AA16" s="42">
        <v>92.064545128583958</v>
      </c>
      <c r="AB16" s="42">
        <v>92.205840033326453</v>
      </c>
      <c r="AC16" s="42">
        <v>92.357122672756446</v>
      </c>
      <c r="AD16" s="42">
        <v>92.523890577002604</v>
      </c>
      <c r="AE16" s="42">
        <v>92.65139434053485</v>
      </c>
      <c r="AF16" s="42">
        <v>92.826640762768307</v>
      </c>
      <c r="AG16" s="42">
        <v>92.993650517307529</v>
      </c>
      <c r="AH16" s="42">
        <v>93.173538327945693</v>
      </c>
      <c r="AI16" s="42">
        <v>93.316956952431241</v>
      </c>
      <c r="AJ16" s="42">
        <v>93.398144757066461</v>
      </c>
      <c r="AK16" s="42">
        <v>93.536697025948513</v>
      </c>
      <c r="AL16" s="42">
        <v>93.753184823129004</v>
      </c>
    </row>
    <row r="17" spans="2:38">
      <c r="K17" s="43"/>
      <c r="L17" s="1"/>
      <c r="M17" s="20"/>
      <c r="O17" s="1"/>
      <c r="P17" s="20"/>
      <c r="R17" s="1"/>
      <c r="S17" s="20"/>
      <c r="U17" s="1"/>
      <c r="V17" s="44"/>
      <c r="AB17" s="1"/>
      <c r="AC17" s="20"/>
      <c r="AE17" s="1"/>
      <c r="AF17" s="20"/>
      <c r="AH17" s="1"/>
      <c r="AI17" s="20"/>
      <c r="AK17" s="1"/>
      <c r="AL17" s="187" t="s">
        <v>325</v>
      </c>
    </row>
    <row r="18" spans="2:38">
      <c r="I18" s="151" t="s">
        <v>326</v>
      </c>
      <c r="L18" s="1"/>
      <c r="M18" s="20"/>
      <c r="O18" s="1"/>
      <c r="P18" s="20"/>
      <c r="R18" s="1"/>
      <c r="S18" s="216" t="s">
        <v>319</v>
      </c>
      <c r="T18" s="216"/>
      <c r="U18" s="216"/>
      <c r="V18" s="216"/>
    </row>
    <row r="19" spans="2:38" ht="15" thickBot="1">
      <c r="B19" s="147"/>
      <c r="C19" s="147"/>
      <c r="D19" s="147"/>
      <c r="E19" s="147"/>
      <c r="F19" s="147"/>
      <c r="G19" s="147"/>
      <c r="H19" s="147"/>
      <c r="I19" s="13" t="s">
        <v>303</v>
      </c>
      <c r="J19" s="45" t="s">
        <v>13</v>
      </c>
      <c r="K19" s="45" t="s">
        <v>14</v>
      </c>
      <c r="L19" s="45" t="s">
        <v>15</v>
      </c>
      <c r="M19" s="45" t="s">
        <v>16</v>
      </c>
      <c r="N19" s="45" t="s">
        <v>17</v>
      </c>
      <c r="O19" s="45" t="s">
        <v>18</v>
      </c>
      <c r="P19" s="45" t="s">
        <v>19</v>
      </c>
      <c r="Q19" s="45" t="s">
        <v>20</v>
      </c>
      <c r="R19" s="45" t="s">
        <v>21</v>
      </c>
      <c r="S19" s="45" t="s">
        <v>22</v>
      </c>
      <c r="T19" s="45" t="s">
        <v>23</v>
      </c>
      <c r="U19" s="45" t="s">
        <v>24</v>
      </c>
      <c r="V19" s="45" t="s">
        <v>10</v>
      </c>
    </row>
    <row r="20" spans="2:38" ht="15" thickTop="1">
      <c r="I20" s="9"/>
      <c r="J20" s="29" t="s">
        <v>26</v>
      </c>
      <c r="K20" s="140">
        <f>K5/AA5*100</f>
        <v>2670.940980972392</v>
      </c>
      <c r="L20" s="140">
        <f t="shared" ref="L20:V30" si="1">L5/AB5*100</f>
        <v>2507.9258037299455</v>
      </c>
      <c r="M20" s="140">
        <f t="shared" si="1"/>
        <v>2844.0575260354176</v>
      </c>
      <c r="N20" s="140">
        <f t="shared" si="1"/>
        <v>2521.9216016664786</v>
      </c>
      <c r="O20" s="140">
        <f t="shared" si="1"/>
        <v>2571.5594236675333</v>
      </c>
      <c r="P20" s="140">
        <f t="shared" si="1"/>
        <v>2504.7656724034414</v>
      </c>
      <c r="Q20" s="140">
        <f t="shared" si="1"/>
        <v>2324.3489649264729</v>
      </c>
      <c r="R20" s="140">
        <f t="shared" si="1"/>
        <v>2513.4912857613576</v>
      </c>
      <c r="S20" s="140">
        <f t="shared" si="1"/>
        <v>2374.1564427463254</v>
      </c>
      <c r="T20" s="140">
        <f t="shared" si="1"/>
        <v>2272.6906025033309</v>
      </c>
      <c r="U20" s="140">
        <f t="shared" si="1"/>
        <v>2323.542543695316</v>
      </c>
      <c r="V20" s="140">
        <f>V5/AL5*100</f>
        <v>2268.8709544318972</v>
      </c>
    </row>
    <row r="21" spans="2:38">
      <c r="I21" s="9"/>
      <c r="J21" s="8" t="s">
        <v>27</v>
      </c>
      <c r="K21" s="140">
        <f t="shared" ref="K21:K30" si="2">K6/AA6*100</f>
        <v>2827.6138601762009</v>
      </c>
      <c r="L21" s="140">
        <f t="shared" si="1"/>
        <v>2684.2598734226044</v>
      </c>
      <c r="M21" s="140">
        <f t="shared" si="1"/>
        <v>3080.260362275917</v>
      </c>
      <c r="N21" s="140">
        <f t="shared" si="1"/>
        <v>2766.5098423034397</v>
      </c>
      <c r="O21" s="140">
        <f t="shared" si="1"/>
        <v>2895.1386976322829</v>
      </c>
      <c r="P21" s="140">
        <f t="shared" si="1"/>
        <v>2888.9392571662606</v>
      </c>
      <c r="Q21" s="140">
        <f t="shared" si="1"/>
        <v>2712.5534144081557</v>
      </c>
      <c r="R21" s="140">
        <f t="shared" si="1"/>
        <v>2967.7178050899147</v>
      </c>
      <c r="S21" s="140">
        <f t="shared" si="1"/>
        <v>2835.6570480447094</v>
      </c>
      <c r="T21" s="140">
        <f t="shared" si="1"/>
        <v>2745.3966023909747</v>
      </c>
      <c r="U21" s="140">
        <f t="shared" si="1"/>
        <v>2873.0668029281474</v>
      </c>
      <c r="V21" s="140">
        <f t="shared" si="1"/>
        <v>2870.0103488824789</v>
      </c>
    </row>
    <row r="22" spans="2:38">
      <c r="I22" s="9"/>
      <c r="J22" s="8" t="s">
        <v>28</v>
      </c>
      <c r="K22" s="140">
        <f t="shared" si="2"/>
        <v>4931.2113276255004</v>
      </c>
      <c r="L22" s="140">
        <f t="shared" si="1"/>
        <v>4669.0871374527178</v>
      </c>
      <c r="M22" s="140">
        <f t="shared" si="1"/>
        <v>5307.732389587055</v>
      </c>
      <c r="N22" s="140">
        <f t="shared" si="1"/>
        <v>4733.5658550956414</v>
      </c>
      <c r="O22" s="140">
        <f t="shared" si="1"/>
        <v>4848.7743362249539</v>
      </c>
      <c r="P22" s="140">
        <f t="shared" si="1"/>
        <v>4769.2862323524141</v>
      </c>
      <c r="Q22" s="140">
        <f t="shared" si="1"/>
        <v>4414.5513426477028</v>
      </c>
      <c r="R22" s="140">
        <f t="shared" si="1"/>
        <v>4819.3544650466893</v>
      </c>
      <c r="S22" s="140">
        <f t="shared" si="1"/>
        <v>4604.855185959339</v>
      </c>
      <c r="T22" s="140">
        <f t="shared" si="1"/>
        <v>4441.9454795835563</v>
      </c>
      <c r="U22" s="140">
        <f t="shared" si="1"/>
        <v>4628.5818442719401</v>
      </c>
      <c r="V22" s="140">
        <f t="shared" si="1"/>
        <v>4628.5818442719401</v>
      </c>
    </row>
    <row r="23" spans="2:38">
      <c r="I23" s="9"/>
      <c r="J23" s="8" t="s">
        <v>29</v>
      </c>
      <c r="K23" s="140">
        <f t="shared" si="2"/>
        <v>790.09104642274258</v>
      </c>
      <c r="L23" s="140">
        <f t="shared" si="1"/>
        <v>748.3103833522423</v>
      </c>
      <c r="M23" s="140">
        <f t="shared" si="1"/>
        <v>855.82860601521566</v>
      </c>
      <c r="N23" s="140">
        <f t="shared" si="1"/>
        <v>765.25642819483824</v>
      </c>
      <c r="O23" s="140">
        <f t="shared" si="1"/>
        <v>800.82199519453604</v>
      </c>
      <c r="P23" s="140">
        <f t="shared" si="1"/>
        <v>799.94868876575242</v>
      </c>
      <c r="Q23" s="140">
        <f t="shared" si="1"/>
        <v>750.28321402167171</v>
      </c>
      <c r="R23" s="140">
        <f t="shared" si="1"/>
        <v>820.84556391180502</v>
      </c>
      <c r="S23" s="140">
        <f t="shared" si="1"/>
        <v>784.30412187012871</v>
      </c>
      <c r="T23" s="140">
        <f t="shared" si="1"/>
        <v>760.09218007696268</v>
      </c>
      <c r="U23" s="140">
        <f t="shared" si="1"/>
        <v>795.42339390142627</v>
      </c>
      <c r="V23" s="140">
        <f t="shared" si="1"/>
        <v>794.56161340965878</v>
      </c>
    </row>
    <row r="24" spans="2:38">
      <c r="I24" s="9"/>
      <c r="J24" s="8" t="s">
        <v>30</v>
      </c>
      <c r="K24" s="140">
        <f t="shared" si="2"/>
        <v>11809.08847558768</v>
      </c>
      <c r="L24" s="140">
        <f t="shared" si="1"/>
        <v>11246.750929131125</v>
      </c>
      <c r="M24" s="140">
        <f t="shared" si="1"/>
        <v>12859.431593969181</v>
      </c>
      <c r="N24" s="140">
        <f t="shared" si="1"/>
        <v>11429.478446977344</v>
      </c>
      <c r="O24" s="140">
        <f t="shared" si="1"/>
        <v>11973.739325404837</v>
      </c>
      <c r="P24" s="140">
        <f t="shared" si="1"/>
        <v>11773.062130006991</v>
      </c>
      <c r="Q24" s="140">
        <f t="shared" si="1"/>
        <v>11067.385589561294</v>
      </c>
      <c r="R24" s="140">
        <f t="shared" si="1"/>
        <v>12054.081077307896</v>
      </c>
      <c r="S24" s="140">
        <f t="shared" si="1"/>
        <v>11340.974356412276</v>
      </c>
      <c r="T24" s="140">
        <f t="shared" si="1"/>
        <v>10932.321248357706</v>
      </c>
      <c r="U24" s="140">
        <f t="shared" si="1"/>
        <v>11452.907974469979</v>
      </c>
      <c r="V24" s="140">
        <f t="shared" si="1"/>
        <v>11391.000363797168</v>
      </c>
      <c r="Y24" s="38"/>
      <c r="Z24" s="205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</row>
    <row r="25" spans="2:38">
      <c r="B25" s="148"/>
      <c r="C25" s="148"/>
      <c r="D25" s="148"/>
      <c r="E25" s="148"/>
      <c r="F25" s="148"/>
      <c r="G25" s="148"/>
      <c r="H25" s="148"/>
      <c r="I25" s="9"/>
      <c r="J25" s="8" t="s">
        <v>31</v>
      </c>
      <c r="K25" s="140">
        <f t="shared" si="2"/>
        <v>1681.9276302364053</v>
      </c>
      <c r="L25" s="140">
        <f t="shared" si="1"/>
        <v>1601.8358383203865</v>
      </c>
      <c r="M25" s="140">
        <f t="shared" si="1"/>
        <v>1839.9077317549661</v>
      </c>
      <c r="N25" s="140">
        <f t="shared" si="1"/>
        <v>1665.6597526654725</v>
      </c>
      <c r="O25" s="140">
        <f t="shared" si="1"/>
        <v>1742.8945724276623</v>
      </c>
      <c r="P25" s="140">
        <f t="shared" si="1"/>
        <v>1740.8172249039105</v>
      </c>
      <c r="Q25" s="140">
        <f t="shared" si="1"/>
        <v>1619.8366573436356</v>
      </c>
      <c r="R25" s="140">
        <f t="shared" si="1"/>
        <v>1769.8927847460147</v>
      </c>
      <c r="S25" s="140">
        <f t="shared" si="1"/>
        <v>1686.9304833874544</v>
      </c>
      <c r="T25" s="140">
        <f t="shared" si="1"/>
        <v>1624.2190925342722</v>
      </c>
      <c r="U25" s="140">
        <f t="shared" si="1"/>
        <v>1681.7772442076905</v>
      </c>
      <c r="V25" s="140">
        <f t="shared" si="1"/>
        <v>1662.446471285763</v>
      </c>
      <c r="Y25" s="38"/>
      <c r="Z25" s="205"/>
      <c r="AA25" s="203"/>
      <c r="AB25" s="203"/>
      <c r="AC25" s="203"/>
      <c r="AD25" s="203"/>
      <c r="AE25" s="203"/>
      <c r="AF25" s="203"/>
      <c r="AG25" s="204"/>
      <c r="AH25" s="204"/>
      <c r="AI25" s="204"/>
      <c r="AJ25" s="204"/>
      <c r="AK25" s="204"/>
      <c r="AL25" s="204"/>
    </row>
    <row r="26" spans="2:38">
      <c r="B26" s="148"/>
      <c r="C26" s="148"/>
      <c r="D26" s="148"/>
      <c r="E26" s="148"/>
      <c r="F26" s="148"/>
      <c r="G26" s="148"/>
      <c r="H26" s="148"/>
      <c r="I26" s="9"/>
      <c r="J26" s="8" t="s">
        <v>32</v>
      </c>
      <c r="K26" s="140">
        <f t="shared" si="2"/>
        <v>19966.636000057642</v>
      </c>
      <c r="L26" s="140">
        <f t="shared" si="1"/>
        <v>19015.843809578706</v>
      </c>
      <c r="M26" s="140">
        <f t="shared" si="1"/>
        <v>21821.543283083778</v>
      </c>
      <c r="N26" s="140">
        <f t="shared" si="1"/>
        <v>19599.071530475187</v>
      </c>
      <c r="O26" s="140">
        <f t="shared" si="1"/>
        <v>20510.494452197672</v>
      </c>
      <c r="P26" s="140">
        <f t="shared" si="1"/>
        <v>20488.674777248525</v>
      </c>
      <c r="Q26" s="140">
        <f t="shared" si="1"/>
        <v>19237.876913676369</v>
      </c>
      <c r="R26" s="140">
        <f t="shared" si="1"/>
        <v>21025.368380684635</v>
      </c>
      <c r="S26" s="140">
        <f t="shared" si="1"/>
        <v>20068.658496695796</v>
      </c>
      <c r="T26" s="140">
        <f t="shared" si="1"/>
        <v>19409.87748555046</v>
      </c>
      <c r="U26" s="140">
        <f t="shared" si="1"/>
        <v>20312.707832728469</v>
      </c>
      <c r="V26" s="140">
        <f t="shared" si="1"/>
        <v>20269.944237291144</v>
      </c>
      <c r="Y26" s="38"/>
      <c r="Z26" s="205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</row>
    <row r="27" spans="2:38">
      <c r="B27" s="148"/>
      <c r="C27" s="148"/>
      <c r="D27" s="148"/>
      <c r="E27" s="148"/>
      <c r="F27" s="148"/>
      <c r="G27" s="148"/>
      <c r="H27" s="148"/>
      <c r="I27" s="9"/>
      <c r="J27" s="8" t="s">
        <v>33</v>
      </c>
      <c r="K27" s="140">
        <f t="shared" si="2"/>
        <v>8876.7215505494678</v>
      </c>
      <c r="L27" s="140">
        <f t="shared" si="1"/>
        <v>8444.8413489535287</v>
      </c>
      <c r="M27" s="140">
        <f t="shared" si="1"/>
        <v>9701.0343977702069</v>
      </c>
      <c r="N27" s="140">
        <f t="shared" si="1"/>
        <v>8728.7070124563052</v>
      </c>
      <c r="O27" s="140">
        <f t="shared" si="1"/>
        <v>9134.4632341237739</v>
      </c>
      <c r="P27" s="140">
        <f t="shared" si="1"/>
        <v>9124.588138735533</v>
      </c>
      <c r="Q27" s="140">
        <f t="shared" si="1"/>
        <v>8554.9661756058194</v>
      </c>
      <c r="R27" s="140">
        <f t="shared" si="1"/>
        <v>9369.7248589968513</v>
      </c>
      <c r="S27" s="140">
        <f t="shared" si="1"/>
        <v>8952.677399159691</v>
      </c>
      <c r="T27" s="140">
        <f t="shared" si="1"/>
        <v>8648.9619774353723</v>
      </c>
      <c r="U27" s="140">
        <f t="shared" si="1"/>
        <v>9060.8173096942028</v>
      </c>
      <c r="V27" s="140">
        <f t="shared" si="1"/>
        <v>9041.331681071204</v>
      </c>
      <c r="Y27" s="38"/>
      <c r="Z27" s="205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</row>
    <row r="28" spans="2:38">
      <c r="B28" s="148"/>
      <c r="C28" s="148"/>
      <c r="D28" s="148"/>
      <c r="E28" s="148"/>
      <c r="F28" s="148"/>
      <c r="G28" s="148"/>
      <c r="H28" s="148"/>
      <c r="I28" s="9"/>
      <c r="J28" s="8" t="s">
        <v>35</v>
      </c>
      <c r="K28" s="140">
        <f t="shared" si="2"/>
        <v>313.19783189928199</v>
      </c>
      <c r="L28" s="140">
        <f t="shared" si="1"/>
        <v>298.28364942788755</v>
      </c>
      <c r="M28" s="140">
        <f t="shared" si="1"/>
        <v>343.0261968420707</v>
      </c>
      <c r="N28" s="140">
        <f t="shared" si="1"/>
        <v>308.37940371621607</v>
      </c>
      <c r="O28" s="140">
        <f t="shared" si="1"/>
        <v>323.06413722651206</v>
      </c>
      <c r="P28" s="140">
        <f t="shared" si="1"/>
        <v>323.06413722651206</v>
      </c>
      <c r="Q28" s="140">
        <f t="shared" si="1"/>
        <v>303.70698850839455</v>
      </c>
      <c r="R28" s="140">
        <f t="shared" si="1"/>
        <v>332.63146360443221</v>
      </c>
      <c r="S28" s="140">
        <f t="shared" si="1"/>
        <v>318.16922605641338</v>
      </c>
      <c r="T28" s="140">
        <f t="shared" si="1"/>
        <v>308.37940371621607</v>
      </c>
      <c r="U28" s="140">
        <f t="shared" si="1"/>
        <v>323.06413722651206</v>
      </c>
      <c r="V28" s="140">
        <f t="shared" si="1"/>
        <v>323.06413722651206</v>
      </c>
      <c r="Y28" s="38"/>
      <c r="Z28" s="205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</row>
    <row r="29" spans="2:38">
      <c r="B29" s="148"/>
      <c r="C29" s="148"/>
      <c r="D29" s="148"/>
      <c r="E29" s="148"/>
      <c r="F29" s="148"/>
      <c r="G29" s="148"/>
      <c r="H29" s="148"/>
      <c r="I29" s="9"/>
      <c r="J29" s="8" t="s">
        <v>37</v>
      </c>
      <c r="K29" s="140">
        <f t="shared" si="2"/>
        <v>42780.672231058888</v>
      </c>
      <c r="L29" s="140">
        <f t="shared" si="1"/>
        <v>40743.497362913244</v>
      </c>
      <c r="M29" s="140">
        <f t="shared" si="1"/>
        <v>46855.021967350214</v>
      </c>
      <c r="N29" s="140">
        <f t="shared" si="1"/>
        <v>42087.551136984534</v>
      </c>
      <c r="O29" s="140">
        <f t="shared" si="1"/>
        <v>44091.720238745685</v>
      </c>
      <c r="P29" s="140">
        <f t="shared" si="1"/>
        <v>44044.663973816394</v>
      </c>
      <c r="Q29" s="140">
        <f t="shared" si="1"/>
        <v>41367.981189080434</v>
      </c>
      <c r="R29" s="140">
        <f t="shared" si="1"/>
        <v>45211.389370477256</v>
      </c>
      <c r="S29" s="140">
        <f t="shared" si="1"/>
        <v>43199.719640598349</v>
      </c>
      <c r="T29" s="140">
        <f t="shared" si="1"/>
        <v>41805.173013972817</v>
      </c>
      <c r="U29" s="140">
        <f t="shared" si="1"/>
        <v>43749.501581309509</v>
      </c>
      <c r="V29" s="140">
        <f t="shared" si="1"/>
        <v>43703.205812440399</v>
      </c>
      <c r="Y29" s="38"/>
      <c r="Z29" s="205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</row>
    <row r="30" spans="2:38">
      <c r="B30" s="148"/>
      <c r="C30" s="148"/>
      <c r="D30" s="148"/>
      <c r="E30" s="148"/>
      <c r="F30" s="148"/>
      <c r="G30" s="148"/>
      <c r="H30" s="148"/>
      <c r="I30" s="28"/>
      <c r="J30" s="5" t="s">
        <v>38</v>
      </c>
      <c r="K30" s="140">
        <f t="shared" si="2"/>
        <v>42538.652929470103</v>
      </c>
      <c r="L30" s="140">
        <f t="shared" si="1"/>
        <v>40469.487212323875</v>
      </c>
      <c r="M30" s="140">
        <f t="shared" si="1"/>
        <v>46440.14628496737</v>
      </c>
      <c r="N30" s="140">
        <f t="shared" si="1"/>
        <v>41660.321716700797</v>
      </c>
      <c r="O30" s="140">
        <f t="shared" si="1"/>
        <v>43597.51819864344</v>
      </c>
      <c r="P30" s="140">
        <f t="shared" si="1"/>
        <v>43550.989363852997</v>
      </c>
      <c r="Q30" s="140">
        <f t="shared" si="1"/>
        <v>40922.553438106486</v>
      </c>
      <c r="R30" s="140">
        <f t="shared" si="1"/>
        <v>44819.939479830915</v>
      </c>
      <c r="S30" s="140">
        <f t="shared" si="1"/>
        <v>42825.590179459679</v>
      </c>
      <c r="T30" s="140">
        <f t="shared" si="1"/>
        <v>41695.268412752179</v>
      </c>
      <c r="U30" s="140">
        <f t="shared" si="1"/>
        <v>43634.288493953121</v>
      </c>
      <c r="V30" s="140">
        <f t="shared" si="1"/>
        <v>43403.419242662363</v>
      </c>
      <c r="Y30" s="38"/>
      <c r="Z30" s="205"/>
      <c r="AA30" s="203"/>
      <c r="AB30" s="203"/>
      <c r="AC30" s="203"/>
      <c r="AD30" s="203"/>
      <c r="AE30" s="203"/>
      <c r="AF30" s="203"/>
      <c r="AG30" s="203"/>
      <c r="AH30" s="203"/>
      <c r="AI30" s="203"/>
      <c r="AJ30" s="204"/>
      <c r="AK30" s="204"/>
      <c r="AL30" s="204"/>
    </row>
    <row r="31" spans="2:38">
      <c r="B31" s="148"/>
      <c r="C31" s="148"/>
      <c r="D31" s="148"/>
      <c r="E31" s="148"/>
      <c r="F31" s="148"/>
      <c r="G31" s="148"/>
      <c r="H31" s="148"/>
      <c r="I31" s="30" t="s">
        <v>25</v>
      </c>
      <c r="J31" s="3" t="s">
        <v>39</v>
      </c>
      <c r="K31" s="141">
        <f>SUM(K20:K30)</f>
        <v>139186.75386405631</v>
      </c>
      <c r="L31" s="141">
        <f t="shared" ref="L31:V31" si="3">SUM(L20:L30)</f>
        <v>132430.12334860628</v>
      </c>
      <c r="M31" s="141">
        <f t="shared" si="3"/>
        <v>151947.99033965138</v>
      </c>
      <c r="N31" s="141">
        <f t="shared" si="3"/>
        <v>136266.42272723623</v>
      </c>
      <c r="O31" s="141">
        <f t="shared" si="3"/>
        <v>142490.18861148888</v>
      </c>
      <c r="P31" s="141">
        <f t="shared" si="3"/>
        <v>142008.79959647873</v>
      </c>
      <c r="Q31" s="141">
        <f t="shared" si="3"/>
        <v>133276.04388788645</v>
      </c>
      <c r="R31" s="141">
        <f t="shared" si="3"/>
        <v>145704.43653545776</v>
      </c>
      <c r="S31" s="141">
        <f t="shared" si="3"/>
        <v>138991.69258039017</v>
      </c>
      <c r="T31" s="141">
        <f t="shared" si="3"/>
        <v>134644.32549887383</v>
      </c>
      <c r="U31" s="141">
        <f t="shared" si="3"/>
        <v>140835.67915838631</v>
      </c>
      <c r="V31" s="141">
        <f t="shared" si="3"/>
        <v>140356.4367067705</v>
      </c>
      <c r="Z31" s="205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</row>
    <row r="32" spans="2:38">
      <c r="Y32" s="206"/>
      <c r="Z32" s="207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9"/>
    </row>
    <row r="33" spans="9:38">
      <c r="I33" s="1" t="s">
        <v>327</v>
      </c>
      <c r="L33" s="1"/>
      <c r="M33" s="20"/>
      <c r="O33" s="1"/>
      <c r="P33" s="20"/>
      <c r="R33" s="1"/>
      <c r="S33" s="216" t="s">
        <v>319</v>
      </c>
      <c r="T33" s="216"/>
      <c r="U33" s="216"/>
      <c r="V33" s="216"/>
    </row>
    <row r="34" spans="9:38" ht="15" thickBot="1">
      <c r="I34" s="13" t="s">
        <v>303</v>
      </c>
      <c r="J34" s="45" t="s">
        <v>13</v>
      </c>
      <c r="K34" s="45" t="s">
        <v>14</v>
      </c>
      <c r="L34" s="45" t="s">
        <v>15</v>
      </c>
      <c r="M34" s="45" t="s">
        <v>16</v>
      </c>
      <c r="N34" s="45" t="s">
        <v>17</v>
      </c>
      <c r="O34" s="45" t="s">
        <v>18</v>
      </c>
      <c r="P34" s="45" t="s">
        <v>19</v>
      </c>
      <c r="Q34" s="45" t="s">
        <v>20</v>
      </c>
      <c r="R34" s="45" t="s">
        <v>21</v>
      </c>
      <c r="S34" s="45" t="s">
        <v>22</v>
      </c>
      <c r="T34" s="45" t="s">
        <v>23</v>
      </c>
      <c r="U34" s="45" t="s">
        <v>24</v>
      </c>
      <c r="V34" s="45" t="s">
        <v>10</v>
      </c>
    </row>
    <row r="35" spans="9:38" ht="15" thickTop="1">
      <c r="I35" s="9"/>
      <c r="J35" s="29" t="s">
        <v>26</v>
      </c>
      <c r="K35" s="140">
        <f>K5/K20*100</f>
        <v>70</v>
      </c>
      <c r="L35" s="140">
        <f t="shared" ref="L35:V35" si="4">L5/L20*100</f>
        <v>71</v>
      </c>
      <c r="M35" s="140">
        <f t="shared" si="4"/>
        <v>72</v>
      </c>
      <c r="N35" s="140">
        <f t="shared" si="4"/>
        <v>73</v>
      </c>
      <c r="O35" s="140">
        <f t="shared" si="4"/>
        <v>75</v>
      </c>
      <c r="P35" s="140">
        <f t="shared" si="4"/>
        <v>77</v>
      </c>
      <c r="Q35" s="140">
        <f t="shared" si="4"/>
        <v>78</v>
      </c>
      <c r="R35" s="140">
        <f t="shared" si="4"/>
        <v>79</v>
      </c>
      <c r="S35" s="140">
        <f t="shared" si="4"/>
        <v>80</v>
      </c>
      <c r="T35" s="140">
        <f t="shared" si="4"/>
        <v>81</v>
      </c>
      <c r="U35" s="140">
        <f t="shared" si="4"/>
        <v>83</v>
      </c>
      <c r="V35" s="140">
        <f t="shared" si="4"/>
        <v>84.999999999999986</v>
      </c>
      <c r="Y35" s="27"/>
      <c r="Z35" s="27"/>
      <c r="AA35" s="27"/>
      <c r="AB35" s="27"/>
      <c r="AC35" s="153"/>
      <c r="AD35" s="27"/>
      <c r="AE35" s="27"/>
      <c r="AF35" s="153"/>
      <c r="AG35" s="27"/>
      <c r="AH35" s="27"/>
      <c r="AI35" s="153"/>
      <c r="AJ35" s="27"/>
      <c r="AK35" s="27"/>
      <c r="AL35" s="153"/>
    </row>
    <row r="36" spans="9:38">
      <c r="I36" s="9"/>
      <c r="J36" s="8" t="s">
        <v>27</v>
      </c>
      <c r="K36" s="140">
        <f t="shared" ref="K36:V46" si="5">K6/K21*100</f>
        <v>92.5</v>
      </c>
      <c r="L36" s="140">
        <f t="shared" si="5"/>
        <v>92.800000000000011</v>
      </c>
      <c r="M36" s="140">
        <f t="shared" si="5"/>
        <v>93</v>
      </c>
      <c r="N36" s="140">
        <f t="shared" si="5"/>
        <v>93.1</v>
      </c>
      <c r="O36" s="140">
        <f t="shared" si="5"/>
        <v>93.2</v>
      </c>
      <c r="P36" s="140">
        <f t="shared" si="5"/>
        <v>93.40000000000002</v>
      </c>
      <c r="Q36" s="140">
        <f t="shared" si="5"/>
        <v>93.5</v>
      </c>
      <c r="R36" s="140">
        <f t="shared" si="5"/>
        <v>93.6</v>
      </c>
      <c r="S36" s="140">
        <f t="shared" si="5"/>
        <v>93.699999999999989</v>
      </c>
      <c r="T36" s="140">
        <f t="shared" si="5"/>
        <v>93.8</v>
      </c>
      <c r="U36" s="140">
        <f t="shared" si="5"/>
        <v>93.9</v>
      </c>
      <c r="V36" s="140">
        <f t="shared" si="5"/>
        <v>94.000000000000014</v>
      </c>
      <c r="Y36" s="38"/>
      <c r="Z36" s="38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</row>
    <row r="37" spans="9:38">
      <c r="I37" s="9"/>
      <c r="J37" s="8" t="s">
        <v>28</v>
      </c>
      <c r="K37" s="140">
        <f t="shared" si="5"/>
        <v>85.5</v>
      </c>
      <c r="L37" s="140">
        <f t="shared" si="5"/>
        <v>85.999999999999986</v>
      </c>
      <c r="M37" s="140">
        <f t="shared" si="5"/>
        <v>87</v>
      </c>
      <c r="N37" s="140">
        <f t="shared" si="5"/>
        <v>88</v>
      </c>
      <c r="O37" s="140">
        <f t="shared" si="5"/>
        <v>90</v>
      </c>
      <c r="P37" s="140">
        <f t="shared" si="5"/>
        <v>91.499999999999986</v>
      </c>
      <c r="Q37" s="140">
        <f t="shared" si="5"/>
        <v>92.5</v>
      </c>
      <c r="R37" s="140">
        <f t="shared" si="5"/>
        <v>92.8</v>
      </c>
      <c r="S37" s="140">
        <f t="shared" si="5"/>
        <v>92.9</v>
      </c>
      <c r="T37" s="140">
        <f t="shared" si="5"/>
        <v>93</v>
      </c>
      <c r="U37" s="140">
        <f t="shared" si="5"/>
        <v>93.5</v>
      </c>
      <c r="V37" s="140">
        <f t="shared" si="5"/>
        <v>93.5</v>
      </c>
      <c r="Y37" s="38"/>
      <c r="Z37" s="38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</row>
    <row r="38" spans="9:38">
      <c r="I38" s="9"/>
      <c r="J38" s="8" t="s">
        <v>29</v>
      </c>
      <c r="K38" s="140">
        <f t="shared" si="5"/>
        <v>90</v>
      </c>
      <c r="L38" s="140">
        <f t="shared" si="5"/>
        <v>90.5</v>
      </c>
      <c r="M38" s="140">
        <f t="shared" si="5"/>
        <v>90.999999999999986</v>
      </c>
      <c r="N38" s="140">
        <f t="shared" si="5"/>
        <v>91.5</v>
      </c>
      <c r="O38" s="140">
        <f t="shared" si="5"/>
        <v>91.600000000000009</v>
      </c>
      <c r="P38" s="140">
        <f t="shared" si="5"/>
        <v>91.7</v>
      </c>
      <c r="Q38" s="140">
        <f t="shared" si="5"/>
        <v>91.9</v>
      </c>
      <c r="R38" s="140">
        <f t="shared" si="5"/>
        <v>92</v>
      </c>
      <c r="S38" s="140">
        <f t="shared" si="5"/>
        <v>92.100000000000009</v>
      </c>
      <c r="T38" s="140">
        <f t="shared" si="5"/>
        <v>92.1</v>
      </c>
      <c r="U38" s="140">
        <f t="shared" si="5"/>
        <v>92.2</v>
      </c>
      <c r="V38" s="140">
        <f t="shared" si="5"/>
        <v>92.300000000000011</v>
      </c>
      <c r="Y38" s="38"/>
      <c r="Z38" s="38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</row>
    <row r="39" spans="9:38">
      <c r="I39" s="9"/>
      <c r="J39" s="8" t="s">
        <v>30</v>
      </c>
      <c r="K39" s="140">
        <f t="shared" si="5"/>
        <v>86.500000000000014</v>
      </c>
      <c r="L39" s="140">
        <f t="shared" si="5"/>
        <v>86.5</v>
      </c>
      <c r="M39" s="140">
        <f t="shared" si="5"/>
        <v>86.999999999999986</v>
      </c>
      <c r="N39" s="140">
        <f t="shared" si="5"/>
        <v>88</v>
      </c>
      <c r="O39" s="140">
        <f t="shared" si="5"/>
        <v>88.000000000000014</v>
      </c>
      <c r="P39" s="140">
        <f t="shared" si="5"/>
        <v>89.5</v>
      </c>
      <c r="Q39" s="140">
        <f t="shared" si="5"/>
        <v>89.5</v>
      </c>
      <c r="R39" s="140">
        <f t="shared" si="5"/>
        <v>90</v>
      </c>
      <c r="S39" s="140">
        <f t="shared" si="5"/>
        <v>91.5</v>
      </c>
      <c r="T39" s="140">
        <f t="shared" si="5"/>
        <v>92</v>
      </c>
      <c r="U39" s="140">
        <f t="shared" si="5"/>
        <v>92</v>
      </c>
      <c r="V39" s="140">
        <f t="shared" si="5"/>
        <v>92.5</v>
      </c>
      <c r="Y39" s="38"/>
      <c r="Z39" s="38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</row>
    <row r="40" spans="9:38">
      <c r="I40" s="9"/>
      <c r="J40" s="8" t="s">
        <v>31</v>
      </c>
      <c r="K40" s="140">
        <f t="shared" si="5"/>
        <v>83.5</v>
      </c>
      <c r="L40" s="140">
        <f t="shared" si="5"/>
        <v>83.5</v>
      </c>
      <c r="M40" s="140">
        <f t="shared" si="5"/>
        <v>83.600000000000009</v>
      </c>
      <c r="N40" s="140">
        <f t="shared" si="5"/>
        <v>83.7</v>
      </c>
      <c r="O40" s="140">
        <f t="shared" si="5"/>
        <v>83.8</v>
      </c>
      <c r="P40" s="140">
        <f t="shared" si="5"/>
        <v>83.899999999999991</v>
      </c>
      <c r="Q40" s="140">
        <f t="shared" si="5"/>
        <v>84</v>
      </c>
      <c r="R40" s="140">
        <f t="shared" si="5"/>
        <v>84.2</v>
      </c>
      <c r="S40" s="140">
        <f t="shared" si="5"/>
        <v>84.5</v>
      </c>
      <c r="T40" s="140">
        <f t="shared" si="5"/>
        <v>85</v>
      </c>
      <c r="U40" s="140">
        <f t="shared" si="5"/>
        <v>86</v>
      </c>
      <c r="V40" s="140">
        <f t="shared" si="5"/>
        <v>87</v>
      </c>
      <c r="Y40" s="38"/>
      <c r="Z40" s="38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</row>
    <row r="41" spans="9:38">
      <c r="I41" s="9"/>
      <c r="J41" s="8" t="s">
        <v>32</v>
      </c>
      <c r="K41" s="140">
        <f t="shared" si="5"/>
        <v>93.5</v>
      </c>
      <c r="L41" s="140">
        <f t="shared" si="5"/>
        <v>93.5</v>
      </c>
      <c r="M41" s="140">
        <f t="shared" si="5"/>
        <v>93.7</v>
      </c>
      <c r="N41" s="140">
        <f t="shared" si="5"/>
        <v>93.8</v>
      </c>
      <c r="O41" s="140">
        <f t="shared" si="5"/>
        <v>93.899999999999991</v>
      </c>
      <c r="P41" s="140">
        <f t="shared" si="5"/>
        <v>94</v>
      </c>
      <c r="Q41" s="140">
        <f t="shared" si="5"/>
        <v>94.1</v>
      </c>
      <c r="R41" s="140">
        <f t="shared" si="5"/>
        <v>94.3</v>
      </c>
      <c r="S41" s="140">
        <f t="shared" si="5"/>
        <v>94.5</v>
      </c>
      <c r="T41" s="140">
        <f t="shared" si="5"/>
        <v>94.700000000000017</v>
      </c>
      <c r="U41" s="140">
        <f t="shared" si="5"/>
        <v>94.8</v>
      </c>
      <c r="V41" s="140">
        <f t="shared" si="5"/>
        <v>95</v>
      </c>
      <c r="Y41" s="38"/>
      <c r="Z41" s="38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</row>
    <row r="42" spans="9:38">
      <c r="I42" s="9"/>
      <c r="J42" s="8" t="s">
        <v>33</v>
      </c>
      <c r="K42" s="140">
        <f t="shared" si="5"/>
        <v>92</v>
      </c>
      <c r="L42" s="140">
        <f t="shared" si="5"/>
        <v>92.1</v>
      </c>
      <c r="M42" s="140">
        <f t="shared" si="5"/>
        <v>92.2</v>
      </c>
      <c r="N42" s="140">
        <f t="shared" si="5"/>
        <v>92.3</v>
      </c>
      <c r="O42" s="140">
        <f t="shared" si="5"/>
        <v>92.4</v>
      </c>
      <c r="P42" s="140">
        <f t="shared" si="5"/>
        <v>92.5</v>
      </c>
      <c r="Q42" s="140">
        <f t="shared" si="5"/>
        <v>92.6</v>
      </c>
      <c r="R42" s="140">
        <f t="shared" si="5"/>
        <v>92.6</v>
      </c>
      <c r="S42" s="140">
        <f t="shared" si="5"/>
        <v>92.699999999999989</v>
      </c>
      <c r="T42" s="140">
        <f t="shared" si="5"/>
        <v>92.800000000000011</v>
      </c>
      <c r="U42" s="140">
        <f t="shared" si="5"/>
        <v>92.8</v>
      </c>
      <c r="V42" s="140">
        <f t="shared" si="5"/>
        <v>93</v>
      </c>
      <c r="Y42" s="38"/>
      <c r="Z42" s="38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</row>
    <row r="43" spans="9:38">
      <c r="I43" s="9"/>
      <c r="J43" s="8" t="s">
        <v>35</v>
      </c>
      <c r="K43" s="140">
        <f t="shared" si="5"/>
        <v>93</v>
      </c>
      <c r="L43" s="140">
        <f t="shared" si="5"/>
        <v>93</v>
      </c>
      <c r="M43" s="140">
        <f t="shared" si="5"/>
        <v>93</v>
      </c>
      <c r="N43" s="140">
        <f t="shared" si="5"/>
        <v>93</v>
      </c>
      <c r="O43" s="140">
        <f t="shared" si="5"/>
        <v>93</v>
      </c>
      <c r="P43" s="140">
        <f t="shared" si="5"/>
        <v>93</v>
      </c>
      <c r="Q43" s="140">
        <f t="shared" si="5"/>
        <v>93</v>
      </c>
      <c r="R43" s="140">
        <f t="shared" si="5"/>
        <v>93</v>
      </c>
      <c r="S43" s="140">
        <f t="shared" si="5"/>
        <v>93</v>
      </c>
      <c r="T43" s="140">
        <f t="shared" si="5"/>
        <v>93</v>
      </c>
      <c r="U43" s="140">
        <f t="shared" si="5"/>
        <v>93</v>
      </c>
      <c r="V43" s="140">
        <f t="shared" si="5"/>
        <v>93</v>
      </c>
      <c r="Y43" s="38"/>
      <c r="Z43" s="38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</row>
    <row r="44" spans="9:38">
      <c r="I44" s="9"/>
      <c r="J44" s="8" t="s">
        <v>37</v>
      </c>
      <c r="K44" s="140">
        <f t="shared" si="5"/>
        <v>93.5</v>
      </c>
      <c r="L44" s="140">
        <f t="shared" si="5"/>
        <v>93.499999999999986</v>
      </c>
      <c r="M44" s="140">
        <f t="shared" si="5"/>
        <v>93.5</v>
      </c>
      <c r="N44" s="140">
        <f t="shared" si="5"/>
        <v>93.600000000000009</v>
      </c>
      <c r="O44" s="140">
        <f t="shared" si="5"/>
        <v>93.600000000000009</v>
      </c>
      <c r="P44" s="140">
        <f t="shared" si="5"/>
        <v>93.7</v>
      </c>
      <c r="Q44" s="140">
        <f t="shared" si="5"/>
        <v>93.800000000000011</v>
      </c>
      <c r="R44" s="140">
        <f t="shared" si="5"/>
        <v>94</v>
      </c>
      <c r="S44" s="140">
        <f t="shared" si="5"/>
        <v>94.1</v>
      </c>
      <c r="T44" s="140">
        <f t="shared" si="5"/>
        <v>94.299999999999983</v>
      </c>
      <c r="U44" s="140">
        <f t="shared" si="5"/>
        <v>94.4</v>
      </c>
      <c r="V44" s="140">
        <f t="shared" si="5"/>
        <v>94.5</v>
      </c>
      <c r="Y44" s="38"/>
      <c r="Z44" s="38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</row>
    <row r="45" spans="9:38">
      <c r="I45" s="28"/>
      <c r="J45" s="5" t="s">
        <v>38</v>
      </c>
      <c r="K45" s="140">
        <f t="shared" si="5"/>
        <v>93</v>
      </c>
      <c r="L45" s="140">
        <f t="shared" si="5"/>
        <v>93.100000000000009</v>
      </c>
      <c r="M45" s="140">
        <f t="shared" si="5"/>
        <v>93.3</v>
      </c>
      <c r="N45" s="140">
        <f t="shared" si="5"/>
        <v>93.5</v>
      </c>
      <c r="O45" s="140">
        <f t="shared" si="5"/>
        <v>93.6</v>
      </c>
      <c r="P45" s="140">
        <f t="shared" si="5"/>
        <v>93.7</v>
      </c>
      <c r="Q45" s="140">
        <f t="shared" si="5"/>
        <v>93.8</v>
      </c>
      <c r="R45" s="140">
        <f t="shared" si="5"/>
        <v>93.8</v>
      </c>
      <c r="S45" s="140">
        <f t="shared" si="5"/>
        <v>93.9</v>
      </c>
      <c r="T45" s="140">
        <f t="shared" si="5"/>
        <v>93.90000000000002</v>
      </c>
      <c r="U45" s="140">
        <f t="shared" si="5"/>
        <v>94</v>
      </c>
      <c r="V45" s="140">
        <f t="shared" si="5"/>
        <v>94.5</v>
      </c>
      <c r="Y45" s="38"/>
      <c r="Z45" s="38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</row>
    <row r="46" spans="9:38">
      <c r="I46" s="197" t="s">
        <v>25</v>
      </c>
      <c r="J46" s="198" t="s">
        <v>39</v>
      </c>
      <c r="K46" s="199">
        <f>K16/K31*100</f>
        <v>91.761087116300629</v>
      </c>
      <c r="L46" s="199">
        <f t="shared" si="5"/>
        <v>91.85025656446409</v>
      </c>
      <c r="M46" s="199">
        <f t="shared" si="5"/>
        <v>92.059802147628531</v>
      </c>
      <c r="N46" s="199">
        <f t="shared" si="5"/>
        <v>92.325118637410597</v>
      </c>
      <c r="O46" s="199">
        <f t="shared" si="5"/>
        <v>92.496894958513124</v>
      </c>
      <c r="P46" s="199">
        <f t="shared" si="5"/>
        <v>92.810445874245815</v>
      </c>
      <c r="Q46" s="199">
        <f t="shared" si="5"/>
        <v>92.952851101869925</v>
      </c>
      <c r="R46" s="199">
        <f t="shared" si="5"/>
        <v>93.121630931870129</v>
      </c>
      <c r="S46" s="199">
        <f t="shared" si="5"/>
        <v>93.374728177136063</v>
      </c>
      <c r="T46" s="199">
        <f t="shared" si="5"/>
        <v>93.545536090352186</v>
      </c>
      <c r="U46" s="199">
        <f t="shared" si="5"/>
        <v>93.691850532022869</v>
      </c>
      <c r="V46" s="199">
        <f t="shared" si="5"/>
        <v>94.011758284021425</v>
      </c>
      <c r="Z46" s="38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</row>
    <row r="47" spans="9:38">
      <c r="V47" s="187" t="s">
        <v>325</v>
      </c>
      <c r="Y47" s="155"/>
      <c r="Z47" s="27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</row>
    <row r="49" spans="9:22">
      <c r="J49" s="1" t="s">
        <v>328</v>
      </c>
      <c r="K49" s="195">
        <v>92.064545128583958</v>
      </c>
      <c r="L49" s="196">
        <v>92.205840033326453</v>
      </c>
      <c r="M49" s="195">
        <v>92.357122672756446</v>
      </c>
      <c r="N49" s="195">
        <v>92.523890577002604</v>
      </c>
      <c r="O49" s="196">
        <v>92.65139434053485</v>
      </c>
      <c r="P49" s="195">
        <v>92.826640762768307</v>
      </c>
      <c r="Q49" s="195">
        <v>92.993650517307529</v>
      </c>
      <c r="R49" s="196">
        <v>93.173538327945693</v>
      </c>
      <c r="S49" s="195">
        <v>93.316956952431241</v>
      </c>
      <c r="T49" s="195">
        <v>93.398144757066461</v>
      </c>
      <c r="U49" s="196">
        <v>93.536697025948513</v>
      </c>
      <c r="V49" s="195">
        <v>93.753184823129004</v>
      </c>
    </row>
    <row r="52" spans="9:22">
      <c r="I52" s="1" t="s">
        <v>329</v>
      </c>
      <c r="J52" s="38"/>
      <c r="K52" s="162"/>
      <c r="L52" s="1"/>
      <c r="M52" s="20"/>
      <c r="O52" s="1"/>
      <c r="P52" s="20"/>
      <c r="R52" s="1"/>
      <c r="S52" s="20"/>
      <c r="U52" s="1"/>
      <c r="V52" s="187"/>
    </row>
    <row r="53" spans="9:22">
      <c r="I53" s="3" t="s">
        <v>25</v>
      </c>
      <c r="J53" s="210" t="s">
        <v>39</v>
      </c>
      <c r="K53" s="212">
        <f t="shared" ref="K53:V53" si="6">K46</f>
        <v>91.761087116300629</v>
      </c>
      <c r="L53" s="212">
        <f t="shared" si="6"/>
        <v>91.85025656446409</v>
      </c>
      <c r="M53" s="212">
        <f t="shared" si="6"/>
        <v>92.059802147628531</v>
      </c>
      <c r="N53" s="212">
        <f t="shared" si="6"/>
        <v>92.325118637410597</v>
      </c>
      <c r="O53" s="212">
        <f t="shared" si="6"/>
        <v>92.496894958513124</v>
      </c>
      <c r="P53" s="212">
        <f t="shared" si="6"/>
        <v>92.810445874245815</v>
      </c>
      <c r="Q53" s="212">
        <f t="shared" si="6"/>
        <v>92.952851101869925</v>
      </c>
      <c r="R53" s="212">
        <f t="shared" si="6"/>
        <v>93.121630931870129</v>
      </c>
      <c r="S53" s="212">
        <f t="shared" si="6"/>
        <v>93.374728177136063</v>
      </c>
      <c r="T53" s="212">
        <f t="shared" si="6"/>
        <v>93.545536090352186</v>
      </c>
      <c r="U53" s="212">
        <f t="shared" si="6"/>
        <v>93.691850532022869</v>
      </c>
      <c r="V53" s="212">
        <f t="shared" si="6"/>
        <v>94.011758284021425</v>
      </c>
    </row>
    <row r="54" spans="9:22">
      <c r="I54" s="3" t="s">
        <v>25</v>
      </c>
      <c r="J54" s="210" t="s">
        <v>334</v>
      </c>
      <c r="K54" s="212">
        <f t="shared" ref="K54:V54" si="7">K60/K67*100</f>
        <v>93.196521157629803</v>
      </c>
      <c r="L54" s="212">
        <f t="shared" si="7"/>
        <v>93.241587502803057</v>
      </c>
      <c r="M54" s="212">
        <f t="shared" si="7"/>
        <v>93.358529329001698</v>
      </c>
      <c r="N54" s="212">
        <f t="shared" si="7"/>
        <v>93.495193609446844</v>
      </c>
      <c r="O54" s="212">
        <f t="shared" si="7"/>
        <v>93.557486295222816</v>
      </c>
      <c r="P54" s="212">
        <f t="shared" si="7"/>
        <v>93.657211235506793</v>
      </c>
      <c r="Q54" s="212">
        <f t="shared" si="7"/>
        <v>93.757082280593835</v>
      </c>
      <c r="R54" s="212">
        <f t="shared" si="7"/>
        <v>93.866621812824874</v>
      </c>
      <c r="S54" s="212">
        <f t="shared" si="7"/>
        <v>93.983661329917183</v>
      </c>
      <c r="T54" s="212">
        <f t="shared" si="7"/>
        <v>94.10076017945309</v>
      </c>
      <c r="U54" s="212">
        <f t="shared" si="7"/>
        <v>94.192636222346678</v>
      </c>
      <c r="V54" s="212">
        <f t="shared" si="7"/>
        <v>94.466493153409402</v>
      </c>
    </row>
    <row r="55" spans="9:22">
      <c r="I55" s="3" t="s">
        <v>25</v>
      </c>
      <c r="J55" s="210" t="s">
        <v>333</v>
      </c>
      <c r="K55" s="212">
        <f t="shared" ref="K55:V55" si="8">K61/K68*100</f>
        <v>85.228958933545698</v>
      </c>
      <c r="L55" s="212">
        <f t="shared" si="8"/>
        <v>85.525302474481933</v>
      </c>
      <c r="M55" s="212">
        <f t="shared" si="8"/>
        <v>86.168007055862134</v>
      </c>
      <c r="N55" s="212">
        <f t="shared" si="8"/>
        <v>87.052910834701137</v>
      </c>
      <c r="O55" s="212">
        <f t="shared" si="8"/>
        <v>87.749024038659911</v>
      </c>
      <c r="P55" s="212">
        <f t="shared" si="8"/>
        <v>89.11540079783903</v>
      </c>
      <c r="Q55" s="212">
        <f t="shared" si="8"/>
        <v>89.460719315222221</v>
      </c>
      <c r="R55" s="212">
        <f t="shared" si="8"/>
        <v>89.921091791390694</v>
      </c>
      <c r="S55" s="212">
        <f t="shared" si="8"/>
        <v>90.855195627753631</v>
      </c>
      <c r="T55" s="212">
        <f t="shared" si="8"/>
        <v>91.265336596879195</v>
      </c>
      <c r="U55" s="212">
        <f t="shared" si="8"/>
        <v>91.621668970139055</v>
      </c>
      <c r="V55" s="212">
        <f t="shared" si="8"/>
        <v>92.124568957286087</v>
      </c>
    </row>
    <row r="56" spans="9:22">
      <c r="I56" s="3" t="s">
        <v>25</v>
      </c>
      <c r="J56" s="210" t="s">
        <v>307</v>
      </c>
      <c r="K56" s="212">
        <f t="shared" ref="K56:V56" si="9">K62/K69*100</f>
        <v>93.249792197730997</v>
      </c>
      <c r="L56" s="212">
        <f t="shared" si="9"/>
        <v>93.299574499753632</v>
      </c>
      <c r="M56" s="212">
        <f t="shared" si="9"/>
        <v>93.398977736477505</v>
      </c>
      <c r="N56" s="212">
        <f t="shared" si="9"/>
        <v>93.548236333442802</v>
      </c>
      <c r="O56" s="212">
        <f t="shared" si="9"/>
        <v>93.597797597873651</v>
      </c>
      <c r="P56" s="212">
        <f t="shared" si="9"/>
        <v>93.697427795780527</v>
      </c>
      <c r="Q56" s="212">
        <f t="shared" si="9"/>
        <v>93.797058322879991</v>
      </c>
      <c r="R56" s="212">
        <f t="shared" si="9"/>
        <v>93.897120275303621</v>
      </c>
      <c r="S56" s="212">
        <f t="shared" si="9"/>
        <v>93.996748378881136</v>
      </c>
      <c r="T56" s="212">
        <f t="shared" si="9"/>
        <v>94.096214760920148</v>
      </c>
      <c r="U56" s="212">
        <f t="shared" si="9"/>
        <v>94.19584257866191</v>
      </c>
      <c r="V56" s="212">
        <f t="shared" si="9"/>
        <v>94.494457303802463</v>
      </c>
    </row>
    <row r="57" spans="9:22">
      <c r="I57" s="3" t="s">
        <v>25</v>
      </c>
      <c r="J57" s="210" t="s">
        <v>308</v>
      </c>
      <c r="K57" s="212">
        <f t="shared" ref="K57:V57" si="10">K63/K70*100</f>
        <v>88.05106882061888</v>
      </c>
      <c r="L57" s="212">
        <f t="shared" si="10"/>
        <v>88.482266526015721</v>
      </c>
      <c r="M57" s="212">
        <f t="shared" si="10"/>
        <v>89.203335496391645</v>
      </c>
      <c r="N57" s="212">
        <f t="shared" si="10"/>
        <v>89.881207705762264</v>
      </c>
      <c r="O57" s="212">
        <f t="shared" si="10"/>
        <v>91.196351739994768</v>
      </c>
      <c r="P57" s="212">
        <f t="shared" si="10"/>
        <v>92.216743662892725</v>
      </c>
      <c r="Q57" s="212">
        <f t="shared" si="10"/>
        <v>92.880596821131704</v>
      </c>
      <c r="R57" s="212">
        <f t="shared" si="10"/>
        <v>93.104886632833342</v>
      </c>
      <c r="S57" s="212">
        <f t="shared" si="10"/>
        <v>93.204888368850249</v>
      </c>
      <c r="T57" s="212">
        <f t="shared" si="10"/>
        <v>93.305581292341856</v>
      </c>
      <c r="U57" s="212">
        <f t="shared" si="10"/>
        <v>93.653196553880221</v>
      </c>
      <c r="V57" s="212">
        <f t="shared" si="10"/>
        <v>93.691369944847963</v>
      </c>
    </row>
    <row r="58" spans="9:22">
      <c r="I58" s="27"/>
      <c r="J58" s="27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</row>
    <row r="59" spans="9:22">
      <c r="I59" s="1" t="s">
        <v>311</v>
      </c>
      <c r="J59" s="38"/>
      <c r="K59" s="162"/>
      <c r="L59" s="1"/>
      <c r="M59" s="20"/>
      <c r="O59" s="1"/>
      <c r="P59" s="20"/>
      <c r="R59" s="1"/>
      <c r="S59" s="20"/>
      <c r="U59" s="1"/>
      <c r="V59" s="187"/>
    </row>
    <row r="60" spans="9:22">
      <c r="I60" s="3" t="s">
        <v>25</v>
      </c>
      <c r="J60" s="210" t="s">
        <v>306</v>
      </c>
      <c r="K60" s="211">
        <f>SUM(K11:K15)</f>
        <v>106687.53823067299</v>
      </c>
      <c r="L60" s="211">
        <f t="shared" ref="L60:V60" si="11">SUM(L11:L15)</f>
        <v>101607.17926730763</v>
      </c>
      <c r="M60" s="211">
        <f t="shared" si="11"/>
        <v>116848.25615740377</v>
      </c>
      <c r="N60" s="211">
        <f t="shared" si="11"/>
        <v>105073.66718287175</v>
      </c>
      <c r="O60" s="211">
        <f t="shared" si="11"/>
        <v>110077.17514396086</v>
      </c>
      <c r="P60" s="211">
        <f t="shared" si="11"/>
        <v>110077.17514396086</v>
      </c>
      <c r="Q60" s="211">
        <f t="shared" si="11"/>
        <v>103495.7098339946</v>
      </c>
      <c r="R60" s="211">
        <f t="shared" si="11"/>
        <v>113352.44410389883</v>
      </c>
      <c r="S60" s="211">
        <f t="shared" si="11"/>
        <v>108424.07696894671</v>
      </c>
      <c r="T60" s="211">
        <f t="shared" si="11"/>
        <v>105268.31873108305</v>
      </c>
      <c r="U60" s="211">
        <f t="shared" si="11"/>
        <v>110281.09581351557</v>
      </c>
      <c r="V60" s="211">
        <f t="shared" si="11"/>
        <v>110281.09581351557</v>
      </c>
    </row>
    <row r="61" spans="9:22">
      <c r="I61" s="3" t="s">
        <v>25</v>
      </c>
      <c r="J61" s="210" t="s">
        <v>83</v>
      </c>
      <c r="K61" s="211">
        <f>SUM(K5:K9)</f>
        <v>19627.330665627276</v>
      </c>
      <c r="L61" s="211">
        <f t="shared" ref="L61:V61" si="12">SUM(L5:L9)</f>
        <v>18692.695872025979</v>
      </c>
      <c r="M61" s="211">
        <f t="shared" si="12"/>
        <v>21496.60025282987</v>
      </c>
      <c r="N61" s="211">
        <f t="shared" si="12"/>
        <v>19340.312050023538</v>
      </c>
      <c r="O61" s="211">
        <f t="shared" si="12"/>
        <v>20261.279290500846</v>
      </c>
      <c r="P61" s="211">
        <f t="shared" si="12"/>
        <v>20261.279290500846</v>
      </c>
      <c r="Q61" s="211">
        <f t="shared" si="12"/>
        <v>19027.510003406675</v>
      </c>
      <c r="R61" s="211">
        <f t="shared" si="12"/>
        <v>20839.653813254929</v>
      </c>
      <c r="S61" s="211">
        <f t="shared" si="12"/>
        <v>19933.581908330802</v>
      </c>
      <c r="T61" s="211">
        <f t="shared" si="12"/>
        <v>19304.851143423111</v>
      </c>
      <c r="U61" s="211">
        <f t="shared" si="12"/>
        <v>20224.129769300402</v>
      </c>
      <c r="V61" s="211">
        <f t="shared" si="12"/>
        <v>20224.129769300402</v>
      </c>
    </row>
    <row r="62" spans="9:22">
      <c r="I62" s="3" t="s">
        <v>25</v>
      </c>
      <c r="J62" s="210" t="s">
        <v>307</v>
      </c>
      <c r="K62" s="211">
        <f>SUM(K13:K15)</f>
        <v>79852.149744113587</v>
      </c>
      <c r="L62" s="211">
        <f t="shared" ref="L62:V62" si="13">SUM(L13:L15)</f>
        <v>76049.66642296534</v>
      </c>
      <c r="M62" s="211">
        <f t="shared" si="13"/>
        <v>87457.11638641014</v>
      </c>
      <c r="N62" s="211">
        <f t="shared" si="13"/>
        <v>78633.141514788847</v>
      </c>
      <c r="O62" s="211">
        <f t="shared" si="13"/>
        <v>82377.576825016877</v>
      </c>
      <c r="P62" s="211">
        <f t="shared" si="13"/>
        <v>82377.576825016877</v>
      </c>
      <c r="Q62" s="211">
        <f t="shared" si="13"/>
        <v>77470.968979614147</v>
      </c>
      <c r="R62" s="211">
        <f t="shared" si="13"/>
        <v>84849.156501482139</v>
      </c>
      <c r="S62" s="211">
        <f t="shared" si="13"/>
        <v>81160.06274054815</v>
      </c>
      <c r="T62" s="211">
        <f t="shared" si="13"/>
        <v>78860.928037206744</v>
      </c>
      <c r="U62" s="211">
        <f t="shared" si="13"/>
        <v>82616.210324692773</v>
      </c>
      <c r="V62" s="211">
        <f t="shared" si="13"/>
        <v>82616.210324692773</v>
      </c>
    </row>
    <row r="63" spans="9:22">
      <c r="I63" s="3" t="s">
        <v>25</v>
      </c>
      <c r="J63" s="210" t="s">
        <v>308</v>
      </c>
      <c r="K63" s="211">
        <f>SUM(K6:K7)</f>
        <v>6831.7285057827885</v>
      </c>
      <c r="L63" s="211">
        <f t="shared" ref="L63:V63" si="14">SUM(L6:L7)</f>
        <v>6506.4081007455134</v>
      </c>
      <c r="M63" s="211">
        <f t="shared" si="14"/>
        <v>7482.3693158573406</v>
      </c>
      <c r="N63" s="211">
        <f t="shared" si="14"/>
        <v>6741.1586156686662</v>
      </c>
      <c r="O63" s="211">
        <f t="shared" si="14"/>
        <v>7062.1661687957467</v>
      </c>
      <c r="P63" s="211">
        <f t="shared" si="14"/>
        <v>7062.1661687957467</v>
      </c>
      <c r="Q63" s="211">
        <f t="shared" si="14"/>
        <v>6619.6974344207501</v>
      </c>
      <c r="R63" s="211">
        <f t="shared" si="14"/>
        <v>7250.144809127487</v>
      </c>
      <c r="S63" s="211">
        <f t="shared" si="14"/>
        <v>6934.9211217741195</v>
      </c>
      <c r="T63" s="211">
        <f t="shared" si="14"/>
        <v>6706.1913090554417</v>
      </c>
      <c r="U63" s="211">
        <f t="shared" si="14"/>
        <v>7025.5337523437947</v>
      </c>
      <c r="V63" s="211">
        <f t="shared" si="14"/>
        <v>7025.5337523437947</v>
      </c>
    </row>
    <row r="66" spans="3:22">
      <c r="I66" s="1" t="s">
        <v>312</v>
      </c>
      <c r="J66" s="38"/>
      <c r="K66" s="162"/>
      <c r="L66" s="1"/>
      <c r="M66" s="20"/>
      <c r="O66" s="1"/>
      <c r="P66" s="20"/>
      <c r="R66" s="1"/>
      <c r="S66" s="20"/>
      <c r="U66" s="1"/>
      <c r="V66" s="187"/>
    </row>
    <row r="67" spans="3:22">
      <c r="I67" s="3" t="s">
        <v>25</v>
      </c>
      <c r="J67" s="210" t="s">
        <v>306</v>
      </c>
      <c r="K67" s="211">
        <f>SUM(K26:K30)</f>
        <v>114475.88054303538</v>
      </c>
      <c r="L67" s="211">
        <f t="shared" ref="L67:V67" si="15">SUM(L26:L30)</f>
        <v>108971.95338319725</v>
      </c>
      <c r="M67" s="211">
        <f t="shared" si="15"/>
        <v>125160.77213001365</v>
      </c>
      <c r="N67" s="211">
        <f t="shared" si="15"/>
        <v>112384.03080033304</v>
      </c>
      <c r="O67" s="211">
        <f t="shared" si="15"/>
        <v>117657.2602609371</v>
      </c>
      <c r="P67" s="211">
        <f t="shared" si="15"/>
        <v>117531.98039087997</v>
      </c>
      <c r="Q67" s="211">
        <f t="shared" si="15"/>
        <v>110387.08470497752</v>
      </c>
      <c r="R67" s="211">
        <f t="shared" si="15"/>
        <v>120759.0535535941</v>
      </c>
      <c r="S67" s="211">
        <f t="shared" si="15"/>
        <v>115364.81494196993</v>
      </c>
      <c r="T67" s="211">
        <f t="shared" si="15"/>
        <v>111867.66029342705</v>
      </c>
      <c r="U67" s="211">
        <f t="shared" si="15"/>
        <v>117080.37935491181</v>
      </c>
      <c r="V67" s="211">
        <f t="shared" si="15"/>
        <v>116740.96511069163</v>
      </c>
    </row>
    <row r="68" spans="3:22">
      <c r="I68" s="3" t="s">
        <v>25</v>
      </c>
      <c r="J68" s="210" t="s">
        <v>83</v>
      </c>
      <c r="K68" s="211">
        <f>SUM(K20:K24)</f>
        <v>23028.945690784516</v>
      </c>
      <c r="L68" s="211">
        <f t="shared" ref="L68:V68" si="16">SUM(L20:L24)</f>
        <v>21856.334127088638</v>
      </c>
      <c r="M68" s="211">
        <f t="shared" si="16"/>
        <v>24947.310477882784</v>
      </c>
      <c r="N68" s="211">
        <f t="shared" si="16"/>
        <v>22216.732174237739</v>
      </c>
      <c r="O68" s="211">
        <f t="shared" si="16"/>
        <v>23090.033778124143</v>
      </c>
      <c r="P68" s="211">
        <f t="shared" si="16"/>
        <v>22736.001980694862</v>
      </c>
      <c r="Q68" s="211">
        <f t="shared" si="16"/>
        <v>21269.122525565297</v>
      </c>
      <c r="R68" s="211">
        <f t="shared" si="16"/>
        <v>23175.490197117666</v>
      </c>
      <c r="S68" s="211">
        <f t="shared" si="16"/>
        <v>21939.94715503278</v>
      </c>
      <c r="T68" s="211">
        <f t="shared" si="16"/>
        <v>21152.44611291253</v>
      </c>
      <c r="U68" s="211">
        <f t="shared" si="16"/>
        <v>22073.522559266807</v>
      </c>
      <c r="V68" s="211">
        <f t="shared" si="16"/>
        <v>21953.025124793145</v>
      </c>
    </row>
    <row r="69" spans="3:22">
      <c r="I69" s="3" t="s">
        <v>25</v>
      </c>
      <c r="J69" s="210" t="s">
        <v>307</v>
      </c>
      <c r="K69" s="211">
        <f>SUM(K28:K30)</f>
        <v>85632.522992428276</v>
      </c>
      <c r="L69" s="211">
        <f t="shared" ref="L69:V69" si="17">SUM(L28:L30)</f>
        <v>81511.268224665007</v>
      </c>
      <c r="M69" s="211">
        <f t="shared" si="17"/>
        <v>93638.194449159651</v>
      </c>
      <c r="N69" s="211">
        <f t="shared" si="17"/>
        <v>84056.252257401546</v>
      </c>
      <c r="O69" s="211">
        <f t="shared" si="17"/>
        <v>88012.302574615635</v>
      </c>
      <c r="P69" s="211">
        <f t="shared" si="17"/>
        <v>87918.717474895908</v>
      </c>
      <c r="Q69" s="211">
        <f t="shared" si="17"/>
        <v>82594.241615695311</v>
      </c>
      <c r="R69" s="211">
        <f t="shared" si="17"/>
        <v>90363.960313912597</v>
      </c>
      <c r="S69" s="211">
        <f t="shared" si="17"/>
        <v>86343.479046114444</v>
      </c>
      <c r="T69" s="211">
        <f t="shared" si="17"/>
        <v>83808.820830441211</v>
      </c>
      <c r="U69" s="211">
        <f t="shared" si="17"/>
        <v>87706.854212489139</v>
      </c>
      <c r="V69" s="211">
        <f t="shared" si="17"/>
        <v>87429.689192329271</v>
      </c>
    </row>
    <row r="70" spans="3:22">
      <c r="I70" s="3" t="s">
        <v>25</v>
      </c>
      <c r="J70" s="210" t="s">
        <v>308</v>
      </c>
      <c r="K70" s="211">
        <f>SUM(K21:K22)</f>
        <v>7758.8251878017018</v>
      </c>
      <c r="L70" s="211">
        <f t="shared" ref="L70:V70" si="18">SUM(L21:L22)</f>
        <v>7353.3470108753227</v>
      </c>
      <c r="M70" s="211">
        <f t="shared" si="18"/>
        <v>8387.992751862972</v>
      </c>
      <c r="N70" s="211">
        <f t="shared" si="18"/>
        <v>7500.075697399081</v>
      </c>
      <c r="O70" s="211">
        <f t="shared" si="18"/>
        <v>7743.9130338572368</v>
      </c>
      <c r="P70" s="211">
        <f t="shared" si="18"/>
        <v>7658.2254895186743</v>
      </c>
      <c r="Q70" s="211">
        <f t="shared" si="18"/>
        <v>7127.1047570558585</v>
      </c>
      <c r="R70" s="211">
        <f t="shared" si="18"/>
        <v>7787.0722701366039</v>
      </c>
      <c r="S70" s="211">
        <f t="shared" si="18"/>
        <v>7440.5122340040489</v>
      </c>
      <c r="T70" s="211">
        <f t="shared" si="18"/>
        <v>7187.3420819745315</v>
      </c>
      <c r="U70" s="211">
        <f t="shared" si="18"/>
        <v>7501.648647200087</v>
      </c>
      <c r="V70" s="211">
        <f t="shared" si="18"/>
        <v>7498.592193154419</v>
      </c>
    </row>
    <row r="72" spans="3:22">
      <c r="C72" s="148"/>
      <c r="D72" s="148"/>
      <c r="E72" s="158" t="s">
        <v>330</v>
      </c>
      <c r="F72" s="158"/>
      <c r="G72" s="158"/>
      <c r="H72" s="148"/>
      <c r="I72" s="148"/>
      <c r="J72" s="147"/>
      <c r="K72" s="147"/>
      <c r="L72" s="150"/>
    </row>
    <row r="73" spans="3:22">
      <c r="C73" s="157"/>
      <c r="D73" s="157"/>
      <c r="E73" s="1" t="s">
        <v>331</v>
      </c>
      <c r="F73" s="158"/>
      <c r="G73" s="158"/>
      <c r="H73" s="148"/>
      <c r="I73" s="148"/>
      <c r="J73" s="147"/>
      <c r="K73" s="147"/>
      <c r="L73" s="150"/>
    </row>
    <row r="74" spans="3:22">
      <c r="E74" s="1" t="s">
        <v>332</v>
      </c>
      <c r="F74" s="158"/>
      <c r="G74" s="158"/>
      <c r="H74" s="148"/>
      <c r="I74" s="148"/>
      <c r="J74" s="147"/>
      <c r="K74" s="147"/>
      <c r="L74" s="150"/>
    </row>
    <row r="75" spans="3:22">
      <c r="E75" s="158"/>
      <c r="F75" s="158"/>
      <c r="G75" s="158"/>
      <c r="H75" s="148"/>
      <c r="I75" s="148"/>
      <c r="J75" s="147"/>
      <c r="K75" s="147"/>
      <c r="L75" s="150"/>
    </row>
    <row r="76" spans="3:22">
      <c r="H76" s="148"/>
      <c r="I76" s="148"/>
      <c r="J76" s="147"/>
      <c r="K76" s="147"/>
      <c r="L76" s="150"/>
    </row>
  </sheetData>
  <mergeCells count="4">
    <mergeCell ref="S3:V3"/>
    <mergeCell ref="AI3:AL3"/>
    <mergeCell ref="S18:V18"/>
    <mergeCell ref="S33:V33"/>
  </mergeCells>
  <pageMargins left="0.7" right="0.7" top="0.75" bottom="0.75" header="0.3" footer="0.3"/>
  <pageSetup paperSize="9" scale="96" orientation="landscape" horizontalDpi="200" verticalDpi="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9B71E8FB12948BD6645640A899C36" ma:contentTypeVersion="11" ma:contentTypeDescription="Create a new document." ma:contentTypeScope="" ma:versionID="072e84620e424672c77323481f7b2fd9">
  <xsd:schema xmlns:xsd="http://www.w3.org/2001/XMLSchema" xmlns:xs="http://www.w3.org/2001/XMLSchema" xmlns:p="http://schemas.microsoft.com/office/2006/metadata/properties" xmlns:ns2="d6ae974e-4439-45e2-8933-320d0f54eb89" xmlns:ns3="8210748f-2aad-4f8d-8b83-1f00ade1af9f" targetNamespace="http://schemas.microsoft.com/office/2006/metadata/properties" ma:root="true" ma:fieldsID="ff44902c8c23c102e6077009b336dd18" ns2:_="" ns3:_="">
    <xsd:import namespace="d6ae974e-4439-45e2-8933-320d0f54eb89"/>
    <xsd:import namespace="8210748f-2aad-4f8d-8b83-1f00ade1af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e974e-4439-45e2-8933-320d0f54eb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3ef789-c194-4a6f-b7e9-452e129b4e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0748f-2aad-4f8d-8b83-1f00ade1af9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2d544ea-680c-426d-b568-f7e5123d4066}" ma:internalName="TaxCatchAll" ma:showField="CatchAllData" ma:web="8210748f-2aad-4f8d-8b83-1f00ade1af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ae974e-4439-45e2-8933-320d0f54eb89">
      <Terms xmlns="http://schemas.microsoft.com/office/infopath/2007/PartnerControls"/>
    </lcf76f155ced4ddcb4097134ff3c332f>
    <TaxCatchAll xmlns="8210748f-2aad-4f8d-8b83-1f00ade1af9f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A879A68B-FE98-4784-A5B3-30EFD6EB3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e974e-4439-45e2-8933-320d0f54eb89"/>
    <ds:schemaRef ds:uri="8210748f-2aad-4f8d-8b83-1f00ade1af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99DE9B-ACA6-4A24-BA04-7A662AF907E2}">
  <ds:schemaRefs>
    <ds:schemaRef ds:uri="http://schemas.microsoft.com/office/2006/metadata/properties"/>
    <ds:schemaRef ds:uri="http://schemas.microsoft.com/office/infopath/2007/PartnerControls"/>
    <ds:schemaRef ds:uri="d6ae974e-4439-45e2-8933-320d0f54eb89"/>
    <ds:schemaRef ds:uri="8210748f-2aad-4f8d-8b83-1f00ade1af9f"/>
  </ds:schemaRefs>
</ds:datastoreItem>
</file>

<file path=customXml/itemProps3.xml><?xml version="1.0" encoding="utf-8"?>
<ds:datastoreItem xmlns:ds="http://schemas.openxmlformats.org/officeDocument/2006/customXml" ds:itemID="{8A96236E-7C07-4B1F-BEF4-4FACF25A7E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CY23 Yield Plan&amp;Result</vt:lpstr>
      <vt:lpstr>Target CY24(Ver.1)</vt:lpstr>
      <vt:lpstr>Target CY24</vt:lpstr>
      <vt:lpstr>Cal_Y</vt:lpstr>
      <vt:lpstr>Target CY25</vt:lpstr>
      <vt:lpstr>Target CY26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Mattika Matuampanwong</dc:creator>
  <cp:keywords/>
  <dc:description/>
  <cp:lastModifiedBy>Teranat Yasan</cp:lastModifiedBy>
  <cp:revision/>
  <dcterms:created xsi:type="dcterms:W3CDTF">2022-09-20T03:36:09Z</dcterms:created>
  <dcterms:modified xsi:type="dcterms:W3CDTF">2026-08-14T03:24:49Z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0x0101004179B71E8FB12948BD6645640A899C36</vt:lpwstr>
  </property>
  <property fmtid="{D5CDD505-2E9C-101B-9397-08002B2CF9AE}" pid="3" name="Order">
    <vt:r8>140600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