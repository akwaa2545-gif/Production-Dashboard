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code test\Product Dashboard\TA\"/>
    </mc:Choice>
  </mc:AlternateContent>
  <xr:revisionPtr revIDLastSave="0" documentId="8_{A540DD7E-FB3B-4473-8CC9-7FDCE6A5F8DF}" xr6:coauthVersionLast="47" xr6:coauthVersionMax="47" xr10:uidLastSave="{00000000-0000-0000-0000-000000000000}"/>
  <bookViews>
    <workbookView xWindow="28680" yWindow="-1035" windowWidth="38640" windowHeight="21120" firstSheet="1" activeTab="1" xr2:uid="{0D17ADB2-6336-4E08-A000-BF2EBA4D245D}"/>
  </bookViews>
  <sheets>
    <sheet name="Prod vol-Ship" sheetId="1" state="hidden" r:id="rId1"/>
    <sheet name="Daily_Yield_Ta" sheetId="2" r:id="rId2"/>
    <sheet name="Daily_Yield_SC" sheetId="7" r:id="rId3"/>
    <sheet name="Monthly_Yield_Ta-SC" sheetId="8"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M7" i="7" l="1"/>
  <c r="BM6" i="7"/>
  <c r="BM5" i="7"/>
  <c r="BJ7" i="7"/>
  <c r="BJ6" i="7"/>
  <c r="BG5" i="7" l="1"/>
  <c r="BG6" i="7"/>
  <c r="BG7" i="7"/>
  <c r="BD7" i="7" l="1"/>
  <c r="BD6" i="7"/>
  <c r="BD5" i="7"/>
  <c r="BA7" i="7" l="1"/>
  <c r="BA6" i="7"/>
  <c r="BA5" i="7"/>
  <c r="AX7" i="7"/>
  <c r="AX6" i="7"/>
  <c r="AX5" i="7"/>
  <c r="AU7" i="7"/>
  <c r="AU6" i="7"/>
  <c r="AU5" i="7"/>
  <c r="AR5" i="7" l="1"/>
  <c r="AR6" i="7"/>
  <c r="AL6" i="7" l="1"/>
  <c r="AL7" i="7"/>
  <c r="AL5" i="7"/>
  <c r="AI7" i="7" l="1"/>
  <c r="AI6" i="7"/>
  <c r="AI5" i="7"/>
  <c r="AF7" i="7"/>
  <c r="AF6" i="7"/>
  <c r="AF5" i="7"/>
  <c r="AC7" i="7" l="1"/>
  <c r="AC6" i="7"/>
  <c r="AC5" i="7"/>
  <c r="Z5" i="7"/>
  <c r="Z6" i="7"/>
  <c r="Z7" i="7"/>
  <c r="W7" i="7"/>
  <c r="W6" i="7"/>
  <c r="W5" i="7"/>
  <c r="CV5" i="7"/>
  <c r="H5" i="7"/>
  <c r="K5" i="7"/>
  <c r="N5" i="7"/>
  <c r="Q5" i="7"/>
  <c r="T5" i="7"/>
  <c r="T6" i="7"/>
  <c r="Q6" i="7"/>
  <c r="N6" i="7"/>
  <c r="K6" i="7"/>
  <c r="H6" i="7"/>
  <c r="H7" i="7"/>
  <c r="K7" i="7"/>
  <c r="Q7" i="7"/>
  <c r="T7" i="7"/>
  <c r="BW8" i="7" l="1"/>
  <c r="BT8" i="7"/>
  <c r="BQ8" i="7"/>
  <c r="BN8" i="7"/>
  <c r="BK8" i="7"/>
  <c r="BH8" i="7"/>
  <c r="BE8" i="7"/>
  <c r="BB8" i="7"/>
  <c r="AY8" i="7"/>
  <c r="AV8" i="7"/>
  <c r="AQ8" i="7"/>
  <c r="AP8" i="7"/>
  <c r="AO8" i="7"/>
  <c r="AN8" i="7" s="1"/>
  <c r="AM8" i="7"/>
  <c r="AL8" i="7"/>
  <c r="AK8" i="7" s="1"/>
  <c r="AJ8" i="7"/>
  <c r="AI8" i="7"/>
  <c r="AH8" i="7" s="1"/>
  <c r="AG8" i="7"/>
  <c r="AF8" i="7"/>
  <c r="AE8" i="7" s="1"/>
  <c r="AD8" i="7"/>
  <c r="AC8" i="7"/>
  <c r="AB8" i="7" s="1"/>
  <c r="AA8" i="7"/>
  <c r="Z8" i="7"/>
  <c r="Y8" i="7" s="1"/>
  <c r="X8" i="7"/>
  <c r="W8" i="7"/>
  <c r="V8" i="7" s="1"/>
  <c r="U8" i="7"/>
  <c r="T8" i="7"/>
  <c r="S8" i="7" s="1"/>
  <c r="R8" i="7"/>
  <c r="Q8" i="7"/>
  <c r="P8" i="7" s="1"/>
  <c r="O8" i="7"/>
  <c r="N8" i="7"/>
  <c r="M8" i="7"/>
  <c r="L8" i="7"/>
  <c r="K8" i="7"/>
  <c r="J8" i="7" s="1"/>
  <c r="I8" i="7"/>
  <c r="H8" i="7"/>
  <c r="G8" i="7" s="1"/>
  <c r="F8" i="7"/>
  <c r="E8" i="7"/>
  <c r="CX7" i="7"/>
  <c r="CV7" i="7"/>
  <c r="CY7" i="7" s="1"/>
  <c r="CW7" i="7"/>
  <c r="CX6" i="7"/>
  <c r="CV6" i="7"/>
  <c r="CY6" i="7" s="1"/>
  <c r="CW6" i="7"/>
  <c r="CX5" i="7"/>
  <c r="CW5" i="7"/>
  <c r="BV8" i="7"/>
  <c r="BS8" i="7"/>
  <c r="BP8" i="7"/>
  <c r="BM8" i="7"/>
  <c r="BJ8" i="7"/>
  <c r="BI8" i="7" s="1"/>
  <c r="BG8" i="7"/>
  <c r="BF8" i="7" s="1"/>
  <c r="BD8" i="7"/>
  <c r="BC8" i="7" s="1"/>
  <c r="BA8" i="7"/>
  <c r="AX8" i="7"/>
  <c r="CW8" i="7" l="1"/>
  <c r="CV8" i="7" s="1"/>
  <c r="CY8" i="7" s="1"/>
  <c r="CX8" i="7"/>
  <c r="AZ8" i="7"/>
  <c r="CY5" i="7"/>
  <c r="BO8" i="7"/>
  <c r="AU8" i="7"/>
  <c r="AT8" i="7" s="1"/>
  <c r="AW8" i="7"/>
  <c r="BR8" i="7"/>
  <c r="BU8" i="7"/>
  <c r="BL8" i="7"/>
  <c r="CN48" i="7"/>
  <c r="CN46" i="7"/>
  <c r="CN47" i="7"/>
  <c r="CK47" i="7"/>
  <c r="CK46" i="7"/>
  <c r="CH48" i="7" l="1"/>
  <c r="CH47" i="7"/>
  <c r="CH46" i="7"/>
  <c r="CE46" i="7"/>
  <c r="CE47" i="7"/>
  <c r="CE48" i="7"/>
  <c r="CB48" i="7"/>
  <c r="CB47" i="7"/>
  <c r="CB46" i="7"/>
  <c r="BY47" i="7"/>
  <c r="BY46" i="7"/>
  <c r="BY48" i="7"/>
  <c r="BW49" i="7"/>
  <c r="AQ49" i="7"/>
  <c r="BV48" i="7"/>
  <c r="BV47" i="7"/>
  <c r="BV46" i="7"/>
  <c r="BV49" i="7" l="1"/>
  <c r="BU49" i="7" s="1"/>
  <c r="BS48" i="7"/>
  <c r="BT49" i="7"/>
  <c r="BS47" i="7"/>
  <c r="BS46" i="7"/>
  <c r="CV46" i="7"/>
  <c r="CY46" i="7" s="1"/>
  <c r="CV47" i="7"/>
  <c r="BQ49" i="7"/>
  <c r="BN49" i="7"/>
  <c r="BK49" i="7"/>
  <c r="BH49" i="7"/>
  <c r="BE49" i="7"/>
  <c r="CV48" i="7"/>
  <c r="BP47" i="7"/>
  <c r="BP48" i="7"/>
  <c r="BP46" i="7"/>
  <c r="BM48" i="7"/>
  <c r="BM47" i="7"/>
  <c r="BM46" i="7"/>
  <c r="BD46" i="7"/>
  <c r="BG46" i="7"/>
  <c r="BJ46" i="7"/>
  <c r="BJ48" i="7"/>
  <c r="BJ47" i="7"/>
  <c r="BG47" i="7"/>
  <c r="BD47" i="7"/>
  <c r="BB49" i="7"/>
  <c r="BA47" i="7"/>
  <c r="BA46" i="7"/>
  <c r="BA48" i="7"/>
  <c r="AY49" i="7"/>
  <c r="AX47" i="7"/>
  <c r="AX48" i="7"/>
  <c r="AX46" i="7"/>
  <c r="AU48" i="7"/>
  <c r="AV49" i="7"/>
  <c r="AU47" i="7"/>
  <c r="AU46" i="7"/>
  <c r="A1" i="7"/>
  <c r="CW46" i="7" l="1"/>
  <c r="AU49" i="7"/>
  <c r="AT49" i="7" s="1"/>
  <c r="AX49" i="7"/>
  <c r="AW49" i="7" s="1"/>
  <c r="BA49" i="7"/>
  <c r="AZ49" i="7" s="1"/>
  <c r="BJ49" i="7"/>
  <c r="BI49" i="7" s="1"/>
  <c r="BG49" i="7"/>
  <c r="BF49" i="7" s="1"/>
  <c r="BD49" i="7"/>
  <c r="BC49" i="7" s="1"/>
  <c r="BM49" i="7"/>
  <c r="BL49" i="7" s="1"/>
  <c r="BP49" i="7"/>
  <c r="BO49" i="7" s="1"/>
  <c r="BS49" i="7"/>
  <c r="BR49" i="7" s="1"/>
  <c r="AP49" i="7"/>
  <c r="AO49" i="7"/>
  <c r="AN49" i="7" s="1"/>
  <c r="AM49" i="7"/>
  <c r="AL49" i="7"/>
  <c r="AK49" i="7" s="1"/>
  <c r="AJ49" i="7"/>
  <c r="AI49" i="7"/>
  <c r="AH49" i="7" s="1"/>
  <c r="AG49" i="7"/>
  <c r="AF49" i="7"/>
  <c r="AE49" i="7" s="1"/>
  <c r="AD49" i="7"/>
  <c r="AC49" i="7"/>
  <c r="AB49" i="7" s="1"/>
  <c r="AA49" i="7"/>
  <c r="Z49" i="7"/>
  <c r="Y49" i="7" s="1"/>
  <c r="X49" i="7"/>
  <c r="W49" i="7"/>
  <c r="V49" i="7" s="1"/>
  <c r="U49" i="7"/>
  <c r="T49" i="7"/>
  <c r="S49" i="7" s="1"/>
  <c r="R49" i="7"/>
  <c r="Q49" i="7"/>
  <c r="P49" i="7" s="1"/>
  <c r="O49" i="7"/>
  <c r="N49" i="7"/>
  <c r="M49" i="7" s="1"/>
  <c r="L49" i="7"/>
  <c r="K49" i="7"/>
  <c r="J49" i="7" s="1"/>
  <c r="I49" i="7"/>
  <c r="H49" i="7"/>
  <c r="G49" i="7" s="1"/>
  <c r="F49" i="7"/>
  <c r="E49" i="7"/>
  <c r="CY48" i="7"/>
  <c r="CX48" i="7"/>
  <c r="CW48" i="7"/>
  <c r="CY47" i="7"/>
  <c r="CX47" i="7"/>
  <c r="CW47" i="7"/>
  <c r="CX46" i="7"/>
  <c r="CW49" i="7" l="1"/>
  <c r="CV49" i="7" s="1"/>
  <c r="CY49" i="7" s="1"/>
  <c r="CX49" i="7"/>
  <c r="F39" i="1"/>
  <c r="F38" i="1"/>
  <c r="F37" i="1"/>
  <c r="G35" i="1"/>
  <c r="G34" i="1"/>
  <c r="G33" i="1"/>
  <c r="F35" i="1"/>
  <c r="F34" i="1"/>
  <c r="F33" i="1"/>
  <c r="G22" i="1"/>
  <c r="G21" i="1"/>
  <c r="G20" i="1"/>
  <c r="G19" i="1"/>
  <c r="G18" i="1"/>
  <c r="I33" i="1" l="1"/>
  <c r="F36" i="1"/>
  <c r="D40" i="1"/>
  <c r="D36" i="1"/>
  <c r="H34" i="1" l="1"/>
  <c r="H35" i="1"/>
  <c r="F40" i="1"/>
  <c r="G36" i="1"/>
  <c r="I35" i="1"/>
  <c r="H33" i="1"/>
  <c r="I34" i="1"/>
  <c r="H36" i="1" l="1"/>
  <c r="I36" i="1"/>
  <c r="E2" i="1" l="1"/>
  <c r="F2" i="1" s="1"/>
  <c r="G27" i="1"/>
  <c r="I12" i="1" l="1"/>
  <c r="I6" i="1"/>
  <c r="H14" i="1" l="1"/>
  <c r="I14" i="1"/>
  <c r="H15" i="1"/>
  <c r="I15" i="1"/>
  <c r="H13" i="1"/>
  <c r="I13" i="1"/>
  <c r="H16" i="1"/>
  <c r="I16" i="1"/>
  <c r="H4" i="1"/>
  <c r="I4" i="1"/>
  <c r="H5" i="1"/>
  <c r="I5" i="1"/>
  <c r="H7" i="1"/>
  <c r="I7" i="1"/>
  <c r="H8" i="1"/>
  <c r="I8" i="1"/>
  <c r="H9" i="1"/>
  <c r="I9" i="1"/>
  <c r="H10" i="1"/>
  <c r="I10" i="1"/>
  <c r="I17" i="1"/>
  <c r="H12" i="1"/>
  <c r="I11" i="1"/>
  <c r="H6" i="1"/>
  <c r="E26" i="1"/>
  <c r="E25" i="1"/>
  <c r="E24" i="1"/>
  <c r="D27" i="1"/>
  <c r="E27" i="1" s="1"/>
  <c r="E19" i="1"/>
  <c r="E20" i="1"/>
  <c r="E21" i="1"/>
  <c r="E22" i="1"/>
  <c r="E18" i="1"/>
  <c r="H17" i="1" l="1"/>
  <c r="H11" i="1"/>
  <c r="F27" i="1"/>
  <c r="E23" i="1"/>
  <c r="G23" i="1"/>
  <c r="D23" i="1"/>
  <c r="F25" i="1" l="1"/>
  <c r="H25" i="1" s="1"/>
  <c r="F26" i="1"/>
  <c r="I26" i="1" s="1"/>
  <c r="F24" i="1"/>
  <c r="I24" i="1" s="1"/>
  <c r="F20" i="1"/>
  <c r="I20" i="1" s="1"/>
  <c r="F22" i="1"/>
  <c r="I22" i="1" s="1"/>
  <c r="F21" i="1"/>
  <c r="I21" i="1" s="1"/>
  <c r="F18" i="1"/>
  <c r="H18" i="1" s="1"/>
  <c r="H27" i="1"/>
  <c r="I27" i="1"/>
  <c r="F19" i="1"/>
  <c r="I19" i="1" s="1"/>
  <c r="I25" i="1" l="1"/>
  <c r="H26" i="1"/>
  <c r="H21" i="1"/>
  <c r="H20" i="1"/>
  <c r="H19" i="1"/>
  <c r="I18" i="1"/>
  <c r="H22" i="1"/>
  <c r="H24" i="1"/>
  <c r="F23" i="1"/>
  <c r="I23" i="1" s="1"/>
  <c r="H23" i="1" l="1"/>
  <c r="G37" i="1" l="1"/>
  <c r="G38" i="1"/>
  <c r="G39" i="1"/>
  <c r="H39" i="1" l="1"/>
  <c r="I39" i="1"/>
  <c r="H38" i="1"/>
  <c r="I38" i="1"/>
  <c r="G40" i="1"/>
  <c r="I37" i="1"/>
  <c r="H37" i="1"/>
  <c r="H40" i="1" l="1"/>
  <c r="I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Thananporn Kwankijsakol</author>
  </authors>
  <commentList>
    <comment ref="BC5" authorId="0" shapeId="0" xr:uid="{E7DBCB06-27C3-48E5-8F13-EA4AFBD6A4BD}">
      <text>
        <r>
          <rPr>
            <sz val="11"/>
            <color theme="1"/>
            <rFont val="Aptos Narrow"/>
            <family val="2"/>
            <scheme val="minor"/>
          </rPr>
          <t>Thananporn Kwankijsakol:
LC/SD def from M/C (Big size - Less lot size, higher impact)</t>
        </r>
      </text>
    </comment>
    <comment ref="BF5" authorId="0" shapeId="0" xr:uid="{755430C7-1F6A-4901-A4F0-0E9C98E99616}">
      <text>
        <r>
          <rPr>
            <sz val="11"/>
            <color theme="1"/>
            <rFont val="Aptos Narrow"/>
            <family val="2"/>
            <scheme val="minor"/>
          </rPr>
          <t>Thananporn Kwankijsakol:
LC/SD def from M/C (Big size - Less lot size, higher impact)</t>
        </r>
      </text>
    </comment>
    <comment ref="BI5" authorId="0" shapeId="0" xr:uid="{75BE2F36-F43E-43FD-BCD4-F21E90798B71}">
      <text>
        <r>
          <rPr>
            <sz val="11"/>
            <color theme="1"/>
            <rFont val="Aptos Narrow"/>
            <family val="2"/>
            <scheme val="minor"/>
          </rPr>
          <t>Thananporn Kwankijsakol:
LC/SD def from M/C (Big size - Less lot size, higher impact)</t>
        </r>
      </text>
    </comment>
    <comment ref="AW6" authorId="0" shapeId="0" xr:uid="{E73D6BA9-17AA-4D90-B94E-DFE0C77D5482}">
      <text>
        <r>
          <rPr>
            <sz val="11"/>
            <color theme="1"/>
            <rFont val="Aptos Narrow"/>
            <family val="2"/>
            <scheme val="minor"/>
          </rPr>
          <t>Thananporn Kwankijsakol:
Hi-LC - suspect swaging incomplete.</t>
        </r>
      </text>
    </comment>
    <comment ref="AB46" authorId="0" shapeId="0" xr:uid="{EB1FF957-1C15-4EBD-860D-A7BF43F66AB3}">
      <text>
        <r>
          <rPr>
            <sz val="11"/>
            <color theme="1"/>
            <rFont val="Aptos Narrow"/>
            <family val="2"/>
            <scheme val="minor"/>
          </rPr>
          <t>Thananporn Kwankijsakol:
CAN Big - small lot size</t>
        </r>
      </text>
    </comment>
    <comment ref="BL46" authorId="0" shapeId="0" xr:uid="{7522BB3C-11D4-4EF8-9944-142445B149A7}">
      <text>
        <r>
          <rPr>
            <sz val="11"/>
            <color theme="1"/>
            <rFont val="Aptos Narrow"/>
            <family val="2"/>
            <scheme val="minor"/>
          </rPr>
          <t>Thananporn Kwankijsakol:
Big size product</t>
        </r>
      </text>
    </comment>
    <comment ref="BO46" authorId="0" shapeId="0" xr:uid="{81E56191-D3BB-4E90-8E6A-E02E05398A3B}">
      <text>
        <r>
          <rPr>
            <sz val="11"/>
            <color theme="1"/>
            <rFont val="Aptos Narrow"/>
            <family val="2"/>
            <scheme val="minor"/>
          </rPr>
          <t>Thananporn Kwankijsakol:
Re-screen leak</t>
        </r>
      </text>
    </comment>
    <comment ref="BR46" authorId="0" shapeId="0" xr:uid="{84C7B590-85B0-4A67-AF81-D254944CD80C}">
      <text>
        <r>
          <rPr>
            <b/>
            <sz val="9"/>
            <color indexed="81"/>
            <rFont val="Tahoma"/>
            <family val="2"/>
          </rPr>
          <t>Thananporn Kwankijsakol:</t>
        </r>
        <r>
          <rPr>
            <sz val="9"/>
            <color indexed="81"/>
            <rFont val="Tahoma"/>
            <family val="2"/>
          </rPr>
          <t xml:space="preserve">
C def of 17MUF from low paste printing</t>
        </r>
      </text>
    </comment>
    <comment ref="AN47" authorId="0" shapeId="0" xr:uid="{38379B87-A395-47D7-A494-2EF765C6F000}">
      <text>
        <r>
          <rPr>
            <sz val="11"/>
            <color theme="1"/>
            <rFont val="Aptos Narrow"/>
            <family val="2"/>
            <scheme val="minor"/>
          </rPr>
          <t>Thananporn Kwankijsakol:
FC big size 1 lot operated in CAN line.</t>
        </r>
      </text>
    </comment>
    <comment ref="AQ47" authorId="0" shapeId="0" xr:uid="{C795EA44-97D9-41ED-BE93-9D74D7287EA5}">
      <text>
        <r>
          <rPr>
            <sz val="11"/>
            <color theme="1"/>
            <rFont val="Aptos Narrow"/>
            <family val="2"/>
            <scheme val="minor"/>
          </rPr>
          <t>Thananporn Kwankijsakol:
FC Big size 1 lot</t>
        </r>
      </text>
    </comment>
    <comment ref="M48" authorId="0" shapeId="0" xr:uid="{5A59C3CB-38E2-4A52-8A71-58F58EB56D7D}">
      <text>
        <r>
          <rPr>
            <sz val="11"/>
            <color theme="1"/>
            <rFont val="Aptos Narrow"/>
            <family val="2"/>
            <scheme val="minor"/>
          </rPr>
          <t>Thananporn Kwankijsakol:
Split lot with small q'ty has LC charging incomplete problem</t>
        </r>
      </text>
    </comment>
  </commentList>
</comments>
</file>

<file path=xl/sharedStrings.xml><?xml version="1.0" encoding="utf-8"?>
<sst xmlns="http://schemas.openxmlformats.org/spreadsheetml/2006/main" count="1096" uniqueCount="308">
  <si>
    <t>Start date</t>
  </si>
  <si>
    <t>Prod Vol (Output-KP)</t>
  </si>
  <si>
    <t>Today</t>
  </si>
  <si>
    <t>Process</t>
  </si>
  <si>
    <t>Series/Case</t>
  </si>
  <si>
    <t>Jul'26 Target</t>
  </si>
  <si>
    <t>Daily Goal</t>
  </si>
  <si>
    <t>MTD Goal</t>
  </si>
  <si>
    <t>MTD</t>
  </si>
  <si>
    <t>Pace</t>
  </si>
  <si>
    <t>Performance MTD</t>
  </si>
  <si>
    <t>TaPoly</t>
  </si>
  <si>
    <t>TET's anode</t>
  </si>
  <si>
    <t>All</t>
  </si>
  <si>
    <t>Racking</t>
  </si>
  <si>
    <t>BOL (Silver)</t>
  </si>
  <si>
    <t>PSLA</t>
  </si>
  <si>
    <t>PSLB</t>
  </si>
  <si>
    <t>FPSA</t>
  </si>
  <si>
    <t>FPSB</t>
  </si>
  <si>
    <t>GPSP2</t>
  </si>
  <si>
    <t>Total</t>
  </si>
  <si>
    <t>EOL (E/I)</t>
  </si>
  <si>
    <t>Final (901)</t>
  </si>
  <si>
    <t>SC</t>
  </si>
  <si>
    <t>Can</t>
  </si>
  <si>
    <t>FC</t>
  </si>
  <si>
    <t>FM</t>
  </si>
  <si>
    <t>TTL FG</t>
  </si>
  <si>
    <t>Shipping (KP)</t>
  </si>
  <si>
    <t>PSL+PSG</t>
  </si>
  <si>
    <t>FPS+FPU</t>
  </si>
  <si>
    <t>GPS</t>
  </si>
  <si>
    <t>TTL</t>
  </si>
  <si>
    <t>Sub</t>
  </si>
  <si>
    <t>Case</t>
  </si>
  <si>
    <t>%Yield</t>
  </si>
  <si>
    <t>Output (KP)</t>
  </si>
  <si>
    <t>Lot</t>
  </si>
  <si>
    <t>Diff with Target</t>
  </si>
  <si>
    <t>FPS</t>
  </si>
  <si>
    <t>A3</t>
  </si>
  <si>
    <t>(E/I)</t>
  </si>
  <si>
    <t>A2</t>
  </si>
  <si>
    <t>B3</t>
  </si>
  <si>
    <t>B10</t>
  </si>
  <si>
    <t>A08</t>
  </si>
  <si>
    <t>FPU</t>
  </si>
  <si>
    <t xml:space="preserve">FACE DOWN </t>
  </si>
  <si>
    <t>P2</t>
  </si>
  <si>
    <t xml:space="preserve">GPS </t>
  </si>
  <si>
    <t>PSL</t>
  </si>
  <si>
    <t>A</t>
  </si>
  <si>
    <t>B15</t>
  </si>
  <si>
    <t>B2</t>
  </si>
  <si>
    <t>PSG</t>
  </si>
  <si>
    <t>PSH</t>
  </si>
  <si>
    <t>PSU</t>
  </si>
  <si>
    <t xml:space="preserve">STD </t>
  </si>
  <si>
    <t xml:space="preserve">Grand </t>
  </si>
  <si>
    <t>Date</t>
  </si>
  <si>
    <t>Series</t>
  </si>
  <si>
    <t>Problem</t>
  </si>
  <si>
    <t>Analysis/ Action</t>
  </si>
  <si>
    <t>PIC</t>
  </si>
  <si>
    <t>Progress</t>
  </si>
  <si>
    <t>Due Date</t>
  </si>
  <si>
    <t>FPSA08
(A081C226)</t>
  </si>
  <si>
    <r>
      <rPr>
        <sz val="9"/>
        <color rgb="FF000000"/>
        <rFont val="Arial"/>
        <family val="2"/>
      </rPr>
      <t xml:space="preserve">In-process-DW
</t>
    </r>
    <r>
      <rPr>
        <b/>
        <sz val="9"/>
        <color rgb="FF000000"/>
        <rFont val="Arial"/>
        <family val="2"/>
      </rPr>
      <t>CAM3</t>
    </r>
    <r>
      <rPr>
        <sz val="9"/>
        <color rgb="FF000000"/>
        <rFont val="Arial"/>
        <family val="2"/>
      </rPr>
      <t xml:space="preserve"> Dimension
CAM2 Mold-chip</t>
    </r>
  </si>
  <si>
    <t>CAM-3 defect occurrence appears to be related to both the dicing process and the Pick &amp; Place (P&amp;P) machine. A significant difference in defect levels has been observed among machines, with some showing normal performance while others exhibit considerably higher defect rates.
LC shift at ACC is a reversible heat and moisture effect, not permanent dielectric damage. The recovery after M-Treatment confirms that the change is temporary and moisture-related.
SMT LC shift is a reversible thermal/moisture-related phenomenon rather than permanent degradation.</t>
  </si>
  <si>
    <t xml:space="preserve">Ms. Sasitorn
Ms. Chotmanee
</t>
  </si>
  <si>
    <r>
      <rPr>
        <b/>
        <sz val="9"/>
        <color rgb="FF000000"/>
        <rFont val="Arial"/>
        <family val="2"/>
      </rPr>
      <t xml:space="preserve">CAM3 </t>
    </r>
    <r>
      <rPr>
        <sz val="9"/>
        <color rgb="FF000000"/>
        <rFont val="Arial"/>
        <family val="2"/>
      </rPr>
      <t xml:space="preserve">
(1) Dicing Blade : Check material properties / Material setting before start operate Dicing process
(2) Further investigation is required to identify the specific machine conditions and mechanisms contributing to the variation.
(3) Unnder prepare exp. trial new spec L dimension (change mean from 3.35 to 3.2 mm.)</t>
    </r>
  </si>
  <si>
    <t>PSGB2
(B20E337)</t>
  </si>
  <si>
    <t>ESR</t>
  </si>
  <si>
    <r>
      <rPr>
        <b/>
        <sz val="9"/>
        <color rgb="FF000000"/>
        <rFont val="Arial"/>
        <family val="2"/>
      </rPr>
      <t>ESR</t>
    </r>
    <r>
      <rPr>
        <sz val="9"/>
        <color rgb="FF000000"/>
        <rFont val="Arial"/>
        <family val="2"/>
      </rPr>
      <t xml:space="preserve"> was high deviation in some lot, PSGB2 was high sensivity.
(1) From analysis found polymer had black spot at internal polymer that means inner is not cover well
(2)Another is insulate of polymer was not get good insulatuin peak so LC high &amp; get ESR high also.</t>
    </r>
  </si>
  <si>
    <t>Ms. Supatsara
Ms. Paemika
Ms. Kanlaya</t>
  </si>
  <si>
    <t>(1)Apperance by polymer step was variation via blister, under investigate &amp; improve blister in in situ. 
-For reduceSYOx on internal polymer to reduce deviation of ESR,QOD change, under evaluation test
(2)Insulation effect conduct of QOD change re-anodization pattern LI to CR, get result 30 lot. Good result for LC and ESR deviation was improve. Under go to implement&amp;verification step.</t>
  </si>
  <si>
    <t xml:space="preserve">PSLB2
(B21A107)
(B20J227)
</t>
  </si>
  <si>
    <t>App : Terminal Red</t>
  </si>
  <si>
    <t xml:space="preserve">From Analysis data
-Gule mixing condition was not good (A&amp;B) was not mix well
-Consider another factor </t>
  </si>
  <si>
    <t>Ms. Supatsara
Ms. Chantira
Mr. Nonthawat</t>
  </si>
  <si>
    <t>-Finished experiment Mazerustar mixing machine, get good result for homogenous
-Trial on 13 Aug,26 on 2HD(FA8) welding machine 3 lots, get good result, can reduce defect. Already summary, will make discuss how to apply &amp; will set operation method</t>
  </si>
  <si>
    <t>PSLB15</t>
  </si>
  <si>
    <t>Terminal red
B150J227M</t>
  </si>
  <si>
    <t>Partial apply reduce glue quantity 25mg to 15mg (QOD plan within 21-Aug)</t>
  </si>
  <si>
    <t>TE (NPD) 
Mr. Suwicha 
Ms. Narakorn</t>
  </si>
  <si>
    <t>Defective was low ratio, TE under conclude the result</t>
  </si>
  <si>
    <r>
      <rPr>
        <b/>
        <sz val="9"/>
        <color rgb="FF000000"/>
        <rFont val="Arial"/>
      </rPr>
      <t xml:space="preserve">CAM3 </t>
    </r>
    <r>
      <rPr>
        <sz val="9"/>
        <color rgb="FF000000"/>
        <rFont val="Arial"/>
      </rPr>
      <t xml:space="preserve">P&amp;P F10 has high deviation, after review actual L dimension are nearly to upper spec. The improvement is
(1) Review appropriate specification by matching with actual process capability and catalog
(2) Minimize process deviation by control setting machine and material
</t>
    </r>
    <r>
      <rPr>
        <b/>
        <sz val="9"/>
        <color rgb="FF000000"/>
        <rFont val="Arial"/>
      </rPr>
      <t xml:space="preserve">
</t>
    </r>
  </si>
  <si>
    <t>Ms. Sasitorn C.
Ms. Chotmanee P.</t>
  </si>
  <si>
    <t xml:space="preserve">
CAM-3 : Further investigation is required to identify the specific machine conditions and mechanisms contributing to the variation.
</t>
  </si>
  <si>
    <t>First, conduct a detailed analysis to identify the process factors contributing to the ESR differences between the low ESR and high ESR groups, and determine the key parameters driving the variation</t>
  </si>
  <si>
    <t xml:space="preserve">PSLB2
(B20J107)
(B20J227)
</t>
  </si>
  <si>
    <r>
      <t>-Finished experiment Mazerustar mixing machine, get good result for homogenous
-Trial on 13 Aug,26 on 2HD(FA8) welding machine 3 lots,</t>
    </r>
    <r>
      <rPr>
        <sz val="9"/>
        <color rgb="FF0000FF"/>
        <rFont val="Arial"/>
        <family val="2"/>
      </rPr>
      <t xml:space="preserve"> get good result, can reduce defect. Already summary, will make discuss how to apply &amp; will set operation method</t>
    </r>
  </si>
  <si>
    <t>FPSA3
(A30J107)</t>
  </si>
  <si>
    <r>
      <rPr>
        <sz val="9"/>
        <color rgb="FF000000"/>
        <rFont val="Arial"/>
        <family val="2"/>
      </rPr>
      <t xml:space="preserve">
</t>
    </r>
    <r>
      <rPr>
        <b/>
        <sz val="9"/>
        <color rgb="FF000000"/>
        <rFont val="Arial"/>
        <family val="2"/>
      </rPr>
      <t xml:space="preserve">ESR
</t>
    </r>
    <r>
      <rPr>
        <sz val="9"/>
        <color rgb="FF000000"/>
        <rFont val="Arial"/>
        <family val="2"/>
      </rPr>
      <t xml:space="preserve">Problem from L/F lot
and Problems beyond L/F.
Inprocess-DW
</t>
    </r>
    <r>
      <rPr>
        <b/>
        <sz val="9"/>
        <color rgb="FF000000"/>
        <rFont val="Arial"/>
        <family val="2"/>
      </rPr>
      <t>CAM3</t>
    </r>
    <r>
      <rPr>
        <sz val="9"/>
        <color rgb="FF000000"/>
        <rFont val="Arial"/>
        <family val="2"/>
      </rPr>
      <t xml:space="preserve"> Dimension
</t>
    </r>
  </si>
  <si>
    <t>ESR :
Remaining WIP for L/F problem =  6    Lots
Problems beyond L/F. --&gt; Focus to Mold clamp.
CAM-3 defect occurrence appears to be related to both the dicing process and the Pick &amp; Place (P&amp;P) machine. A significant difference in defect levels has been observed among machines, with some showing normal performance while others exhibit considerably higher defect rates.</t>
  </si>
  <si>
    <t>Mr. Jirapat
Mr. Pawekorn</t>
  </si>
  <si>
    <t>ESR
'1. Feedback to supplier about L/F dimension.
2. Standardize L/F dimensional control to reduce ESR variation.</t>
  </si>
  <si>
    <t xml:space="preserve">
CAM-3 : Further investigation is required to identify the specific machine conditions and mechanisms contributing to the variation.
ACC/SMT
- Temporary Action: Optimize moisture control during ACC/SMT to minimize the reversible LC shift.
- Permanent Action: Identify and eliminate the root cause at ACC by improving dielectric uniformity and stability.
</t>
  </si>
  <si>
    <t>ESR
Blister: Conveyer machine make bubble of GB2,B2</t>
  </si>
  <si>
    <r>
      <rPr>
        <b/>
        <sz val="9"/>
        <color rgb="FF000000"/>
        <rFont val="Arial"/>
        <family val="2"/>
      </rPr>
      <t>ESR</t>
    </r>
    <r>
      <rPr>
        <sz val="9"/>
        <color rgb="FF000000"/>
        <rFont val="Arial"/>
        <family val="2"/>
      </rPr>
      <t xml:space="preserve"> was high deviation in some lot, PSGB2 was high sensivity.
(1) From analysis found polymer had black spot at internal polymer that means inner is not cover well
(2)Another is insulate of polymer was not get good insulatuin peak so LC high &amp; get ESR high also.
</t>
    </r>
    <r>
      <rPr>
        <b/>
        <sz val="9"/>
        <color rgb="FF000000"/>
        <rFont val="Arial"/>
        <family val="2"/>
      </rPr>
      <t xml:space="preserve">Blister </t>
    </r>
    <r>
      <rPr>
        <sz val="9"/>
        <color rgb="FF000000"/>
        <rFont val="Arial"/>
        <family val="2"/>
      </rPr>
      <t>: Conveyer had high temp &amp; low hu at machine no Z1, EE BOL already fix it &amp; GB2 case specify to not apply this machine (shape of anode were effect to blister).</t>
    </r>
  </si>
  <si>
    <t>First, conduct a detailed analysis to identify the process factors contributing to the ESR differences between the low ESR and high ESR groups, and determine the key parameters driving the variation
We are currently investigating potential blister formation associated with abnormalities in the NR conveyor of the Z1 equipment. The objective is to clarify the blister formation mechanism, identify the root cause, and implement permanent corrective actions to prevent recurrence.</t>
  </si>
  <si>
    <r>
      <t xml:space="preserve">-Finished experiment Mazerustar mixing machine, get good result for homogenous
-Trial on 13 Aug,26 on 2HD(FA8) welding machine 3 lots, wait for result &gt; </t>
    </r>
    <r>
      <rPr>
        <sz val="9"/>
        <rFont val="Arial"/>
        <family val="2"/>
      </rPr>
      <t>Get good result but still  deviation (1 lot still high def.), under conclude result &gt;</t>
    </r>
    <r>
      <rPr>
        <sz val="9"/>
        <color rgb="FF0000FF"/>
        <rFont val="Arial"/>
        <family val="2"/>
      </rPr>
      <t xml:space="preserve"> Finished E/I on Aug 18</t>
    </r>
  </si>
  <si>
    <t>PSLB2
(B20E477)</t>
  </si>
  <si>
    <t>ESR 
High powder grade
LC
Weak at welding machine</t>
  </si>
  <si>
    <r>
      <rPr>
        <b/>
        <sz val="9"/>
        <color rgb="FF000000"/>
        <rFont val="Arial"/>
        <family val="2"/>
      </rPr>
      <t>ESR</t>
    </r>
    <r>
      <rPr>
        <sz val="9"/>
        <color rgb="FF000000"/>
        <rFont val="Arial"/>
        <family val="2"/>
      </rPr>
      <t xml:space="preserve"> level and variability increased after 250KCV implementation. However, the presence of both good and bad lots suggests that process variation remains, requiring further investigation to identify and eliminate the sources of inconsistency
</t>
    </r>
    <r>
      <rPr>
        <b/>
        <sz val="9"/>
        <color rgb="FF000000"/>
        <rFont val="Arial"/>
        <family val="2"/>
      </rPr>
      <t>LC</t>
    </r>
    <r>
      <rPr>
        <sz val="9"/>
        <color rgb="FF000000"/>
        <rFont val="Arial"/>
        <family val="2"/>
      </rPr>
      <t xml:space="preserve"> --&gt; check LC tendency by M/C and LC before/after welding HS6
           Check history of changing of welding machine</t>
    </r>
  </si>
  <si>
    <r>
      <t>First, conduct a detailed analysis to identify the process factors contributing to the ESR differences between the low ESR and high ESR groups, and determine the key parameters driving the variation
QOD to improve LC by change M-Aging volt from 2.5 to 5V
(Today Aug 13'26 apply 3 lot of change review)
--&gt;</t>
    </r>
    <r>
      <rPr>
        <sz val="9"/>
        <color rgb="FF0000FF"/>
        <rFont val="Arial"/>
        <family val="2"/>
      </rPr>
      <t>Initial result at E/I can not get yield improve, under conclude data</t>
    </r>
  </si>
  <si>
    <t>E/Aug'26</t>
  </si>
  <si>
    <t>PSLB2
(B20J107)
(B20J227)
(B21A107)
(B21C336)</t>
  </si>
  <si>
    <r>
      <t xml:space="preserve">-Finished experiment Mazerustar mixing machine, get good result for homogenous
-Trial on 13 Aug,26 on 2HD(FA8) welding machine 3 lots, wait for result &gt; </t>
    </r>
    <r>
      <rPr>
        <sz val="9"/>
        <color rgb="FF0000FF"/>
        <rFont val="Arial"/>
        <family val="2"/>
      </rPr>
      <t>Get good result but still  deviation (1 lot still high def.)</t>
    </r>
    <r>
      <rPr>
        <sz val="9"/>
        <color theme="1"/>
        <rFont val="Arial"/>
        <family val="2"/>
      </rPr>
      <t>,</t>
    </r>
    <r>
      <rPr>
        <sz val="9"/>
        <color rgb="FF0000FF"/>
        <rFont val="Arial"/>
        <family val="2"/>
      </rPr>
      <t xml:space="preserve"> under conclude result</t>
    </r>
  </si>
  <si>
    <r>
      <rPr>
        <b/>
        <sz val="9"/>
        <color rgb="FF000000"/>
        <rFont val="Arial"/>
        <family val="2"/>
      </rPr>
      <t>ESR</t>
    </r>
    <r>
      <rPr>
        <sz val="9"/>
        <color rgb="FF000000"/>
        <rFont val="Arial"/>
        <family val="2"/>
      </rPr>
      <t xml:space="preserve"> :
Remaining WIP for L/F problem =  6    Lots
Problems beyond L/F. --&gt; Focus to Mold clamp.
</t>
    </r>
    <r>
      <rPr>
        <b/>
        <sz val="9"/>
        <color rgb="FF000000"/>
        <rFont val="Arial"/>
        <family val="2"/>
      </rPr>
      <t xml:space="preserve">CAM-3 </t>
    </r>
    <r>
      <rPr>
        <sz val="9"/>
        <color rgb="FF000000"/>
        <rFont val="Arial"/>
        <family val="2"/>
      </rPr>
      <t>defect occurrence appears to be related to both the dicing process and the Pick &amp; Place (P&amp;P) machine. A significant difference in defect levels has been observed among machines, with some showing normal performance while others exhibit considerably higher defect rates.</t>
    </r>
  </si>
  <si>
    <r>
      <rPr>
        <b/>
        <sz val="9"/>
        <color rgb="FF000000"/>
        <rFont val="Arial"/>
        <family val="2"/>
      </rPr>
      <t xml:space="preserve">CAM-3 </t>
    </r>
    <r>
      <rPr>
        <sz val="9"/>
        <color rgb="FF000000"/>
        <rFont val="Arial"/>
        <family val="2"/>
      </rPr>
      <t xml:space="preserve">defect occurrence appears to be related to both the dicing process and the Pick &amp; Place (P&amp;P) machine. A significant difference in defect levels has been observed among machines, with some showing normal performance while others exhibit considerably higher defect rates.
</t>
    </r>
    <r>
      <rPr>
        <b/>
        <sz val="9"/>
        <color rgb="FF000000"/>
        <rFont val="Arial"/>
        <family val="2"/>
      </rPr>
      <t>LC shift at ACC</t>
    </r>
    <r>
      <rPr>
        <sz val="9"/>
        <color rgb="FF000000"/>
        <rFont val="Arial"/>
        <family val="2"/>
      </rPr>
      <t xml:space="preserve"> is a reversible heat and moisture effect, not permanent dielectric damage. The recovery after M-Treatment confirms that the change is temporary and moisture-related.
</t>
    </r>
    <r>
      <rPr>
        <b/>
        <sz val="9"/>
        <color rgb="FF000000"/>
        <rFont val="Arial"/>
        <family val="2"/>
      </rPr>
      <t xml:space="preserve">SMT LC </t>
    </r>
    <r>
      <rPr>
        <sz val="9"/>
        <color rgb="FF000000"/>
        <rFont val="Arial"/>
        <family val="2"/>
      </rPr>
      <t>shift is a reversible thermal/moisture-related phenomenon rather than permanent degradation.</t>
    </r>
  </si>
  <si>
    <r>
      <rPr>
        <b/>
        <sz val="9"/>
        <color rgb="FF000000"/>
        <rFont val="Arial"/>
        <family val="2"/>
      </rPr>
      <t>ESR</t>
    </r>
    <r>
      <rPr>
        <sz val="9"/>
        <color rgb="FF000000"/>
        <rFont val="Arial"/>
        <family val="2"/>
      </rPr>
      <t xml:space="preserve"> level and variability increased after 250KCV implementation. However, the presence of both good and bad lots suggests that process variation remains, requiring further investigation to identify and eliminate the sources of inconsistency
</t>
    </r>
    <r>
      <rPr>
        <b/>
        <sz val="9"/>
        <color rgb="FF000000"/>
        <rFont val="Arial"/>
        <family val="2"/>
      </rPr>
      <t>LC</t>
    </r>
    <r>
      <rPr>
        <sz val="9"/>
        <color rgb="FF000000"/>
        <rFont val="Arial"/>
        <family val="2"/>
      </rPr>
      <t xml:space="preserve"> --&gt; check LC tendency by M/C amd LC before/after welding</t>
    </r>
  </si>
  <si>
    <t>First, conduct a detailed analysis to identify the process factors contributing to the ESR differences between the low ESR and high ESR groups, and determine the key parameters driving the variation
QOD to improve LC by change M-Aging volt from 2.5 to 5V
(Today Aug 13'26 apply 3 lot of change review)
--&gt;This action will get benefit to ESR</t>
  </si>
  <si>
    <t>PSLB2
(B20J107)
(B21A476)
(B20J227)</t>
  </si>
  <si>
    <t>-Finished experiment Mazerustar mixing machine, get good result for homogenous
-Trial on 13 Aug,26 on 2HD(FA8) welding machine 3 lots, wait for result</t>
  </si>
  <si>
    <t>PSLB2
(B20J107)
(B21A107)
(B21C336)</t>
  </si>
  <si>
    <t>TE (NPD) Suwicha Narakorn Team</t>
  </si>
  <si>
    <t>ESR
Problem from L/F lot</t>
  </si>
  <si>
    <t>Remaining WIP for L/F problem</t>
  </si>
  <si>
    <t>1. Feedback to supplier about L/F dimension.
2. Work closely with QA to monitor L/F dimensional variation and its impact on ESR performance, and establish standardized control criteria.</t>
  </si>
  <si>
    <t>FPSA2
(A21N396)</t>
  </si>
  <si>
    <t>App : Terminal Scratch 
CO : SH (Open)</t>
  </si>
  <si>
    <t>Root cause investigation is ongoing.
(Terminal scratch --&gt; 4M checking)</t>
  </si>
  <si>
    <t>Ms. Sasitorn
Ms. Chotmanee
Ms. Parichat
Mr. Taksin</t>
  </si>
  <si>
    <t>1. Clarify the defective with marginal sample with QA team and check the solderability test for verify functionality.                                                                                                          2. Conduct an on-site inspection to verify the defect mechanism and identify potential contributing factors.</t>
  </si>
  <si>
    <t>ESR &amp; Blister
Blister: Conveyer machine make bubble of GB2,B2</t>
  </si>
  <si>
    <t>ESR was high deviation in some lot, PSGB2 was high sensivity.
(1) From analysis found polymer had black spot at internal polymer that means inner is not cover well
(2)Another is insulate of polymer was not get good insulatuin peak so LC high &amp; get ESR high also.
Blister : Conveyer had high temp &amp; low hu at machine no Z1, EE BOL already fix it &amp; GB2 case specify to not apply this machine (shape of anode were effect to blister).</t>
  </si>
  <si>
    <t>ESR and LC</t>
  </si>
  <si>
    <t>ESR level and variability increased after 250KCV implementation. However, the presence of both good and bad lots suggests that process variation remains, requiring further investigation to identify and eliminate the sources of inconsistency
LC --&gt; check LC tendency by M/C amd LC before/after welding</t>
  </si>
  <si>
    <t>-Finished experiment Mazerustar mixing machine, get good result
-Will trial on 13 Aug,26 on 2HD welding machine</t>
  </si>
  <si>
    <t>ESR level and variability increased after 250KCV implementation. However, the presence of both good and bad lots suggests that process variation remains, requiring further investigation to identify and eliminate the sources of inconsistency</t>
  </si>
  <si>
    <t>PSLB2
(B20J107)
(B21A107)
(B21C336)
(B20E227M)</t>
  </si>
  <si>
    <t>A correlation was identified between high ESR lots and specific lead frame lots. Lead frame dimensions of 32 and 38 showed higher ESR values, although all measurements remain within specification. The remaining WIP consists of 12 lots, which will be monitored to further validate the correlation</t>
  </si>
  <si>
    <t>Work closely with QA to monitor L/F dimensional variation and its impact on ESR performance, and establish standardized control criteria to ensure consistent product quality and reduce ESR-related risks.</t>
  </si>
  <si>
    <t>Root cause investigation is ongoing.</t>
  </si>
  <si>
    <t>Conduct an on-site inspection to verify the defect mechanism and identify potential contributing factors.</t>
  </si>
  <si>
    <t>High ESR</t>
  </si>
  <si>
    <t>ESR was high deviation in some lot, PSGB2 was high sensivity.
And now input increase twice , this PN expand operate in external room2 polymer. PE cooperate with PROD to control good condition.</t>
  </si>
  <si>
    <t>Conduct QOD reduce SYOX step to reduce deviation, now pass initial step &amp; will apply 3 lots (now wait for QOD change re-anodization 30 lots finished&gt;conclude) &gt; will finish E/I on Aug 14'26</t>
  </si>
  <si>
    <t>ESR high level &amp; deviation from 250KCV</t>
  </si>
  <si>
    <t>Will apply 10 lots of change M-Aging volt from 2.5 to 5V that for improve LC but can improve ESR also.</t>
  </si>
  <si>
    <t>PSLB2
(B2E227(35)
(B20J227)
(B21A107)</t>
  </si>
  <si>
    <t>-Finished experiment Mazerustar mixing machine, get good result
-Will trial 3 lots on next week (10-14 Aug,26)</t>
  </si>
  <si>
    <t>C minus
Cap minys defective, 
Lot No. 6G19N10753 (C minus)
ESR
Problem from L/F lot</t>
  </si>
  <si>
    <t>A low CV value limits the achievable formation voltage, leading to a decrease in capacitance performance.
Found relation of high ESR lot with lead frame lot which Dimension 32, 38 show high value (Still within specification)                                            Remaining WIP 12 Lots.</t>
  </si>
  <si>
    <t>-Escalate high-defect lots data to the Anode Unit for root cause investigation
- Change to a new L/F lot and monitor the impact on defect reduction.     Fed back the information to lead frame supplier to find out the reason of turning point of lead frame dimension --&gt; Wait for Supllier reply</t>
  </si>
  <si>
    <t>8/13/2026
Done (Aug 7' 26)</t>
  </si>
  <si>
    <t>Conduct QOD reduce SYOX step to reduce deviation, now pass initial step &amp; will apply 3 lots (now wait for QOD change re-anodization 30 lots finished&gt;conclude)</t>
  </si>
  <si>
    <t>LC &amp; ESR</t>
  </si>
  <si>
    <t>High LC at welding mc, cooperate with EE maint about mc trouble and monitor by Prod to check LC before after welding.
ESR high level &amp; deviation from 250KCV</t>
  </si>
  <si>
    <t>-Follow result after feedback at welding process
-For podwer 200 KCV already finished E/I , will conclude with Anode team</t>
  </si>
  <si>
    <t>7-Aug-26
E/Aug'26</t>
  </si>
  <si>
    <t>PSLB3
(B30E227)
(B30J157)</t>
  </si>
  <si>
    <t>App :
Lack/Ex : In-pro Up/Dw</t>
  </si>
  <si>
    <t>Still have deviation &amp; main defective, from analysis is
-Small bubble and screen at welding machine
-Beding at polymer - Silver process
-Product drop from low adhesion strenght at pelle ass'y</t>
  </si>
  <si>
    <t>Ms. Supatsara
Ms. Sukruetai
Ms. Wichita</t>
  </si>
  <si>
    <t>Inprocess defective was estabish to improve of PSLB3
-Stabilize polymer &amp; GrP-AgP to reduce bubble&amp; big element (Hu/Temp monitor, Lift up speed adjust)
-will apply narrow spec (Up to high) weld strength at pellet ass'y</t>
  </si>
  <si>
    <t>FPSA08
(A1C226)</t>
  </si>
  <si>
    <t>ACC / SH2
Root cause has not yet been determined. Investigation is ongoing.</t>
  </si>
  <si>
    <t>Until now ACC is decreased but not clear the root cause.
- Compare ACC trends between FPSA08 and PSLB30J157 to identify the key changing point.
- Investigate the impact of moisture on ACC performance through comparative evaluation.</t>
  </si>
  <si>
    <t>We are investigating common process conditions to confirm whether both products exhibit the same trend. In parallel, an experiment is being conducted to evaluate the impact of leaving time, with conditions varied up to 24 hours.</t>
  </si>
  <si>
    <t>ESR 
High ESR defects are associated with L/F Lot N260702, but the root cause remains under investigation.</t>
  </si>
  <si>
    <t>From Analysis data
- Based on the 4M analysis, the high ESR issue is associated with Lead Frame (L/F) Lot N260702.
- Cross-sectional analysis found that products with high ESR showed glue cracking.
- Focus should be placed on reviewing, controlling, and standardizing the L/F process conditions to prevent recurrence.</t>
  </si>
  <si>
    <t>There is no remaining stock from L/F Lot N260702, as all material is currently in WIP. The team is conducting inspections on WIP products and comparing Lot N260702 with other L/F lots to identify any differences that may be related to the ESR issue.</t>
  </si>
  <si>
    <t xml:space="preserve">8/7/2026
</t>
  </si>
  <si>
    <t>ESR &amp; Blister
Blister: Polymer process-related. ESR: Cause unclear. Investigation ongoing.</t>
  </si>
  <si>
    <t>The current focus is on identifying the root cause before implementing corrective actions. 
For the ESR issue, investigate the correlation between ESR and blister defects and conduct a comprehensive 4M analysis. For the blister issue, evaluate the impact of moisture absorption after NR4 and TR waiting time, and assess whether the occurrence is related to specific operation groups.</t>
  </si>
  <si>
    <t>Ms. Supatsara
Ms. Paemika
Ms. Kanlaya
Ms. Sukruetai</t>
  </si>
  <si>
    <t xml:space="preserve"> - Monitor and evaluate the impact of moisture absorption after NR4 and during the TR waiting period (By Karl fisher/ TG/DTA)
 - Check process data (HU/Temp by dry hood, SG of NR,TR)
 - Coperate with PRODUCTION to check apperance after NR,TR</t>
  </si>
  <si>
    <t xml:space="preserve"> - Monitor and evaluate the impact of moisture absorption after NR4 and during the TR waiting period
(By Karl fisher/ TG/DTA)
 - Check process data (HU/Temp by dry hood, SG of NR,TR)
 - Coperate with PRODUCTION to check apperance after NR,TR</t>
  </si>
  <si>
    <t>PSLB2
(B21A107)</t>
  </si>
  <si>
    <t>Terminal red
The root cause remains under investigation.</t>
  </si>
  <si>
    <t>- Identifying Key Factors Contributing to the Terminal Red Issue</t>
  </si>
  <si>
    <t xml:space="preserve">Get good result of glue mixing by Mazerustar
Under finding mix condition	</t>
  </si>
  <si>
    <t>FPSA08</t>
  </si>
  <si>
    <t>ACC / SH2</t>
  </si>
  <si>
    <t>-Identifying Key Factors Contributing to the ACC and SH-2 Issue
- Prepare QOD-206 Extend ACC screening from 0.4 to 0.6A</t>
  </si>
  <si>
    <t>PE (FPS) Natdanai, Sasitorn Team</t>
  </si>
  <si>
    <t>- To analyze SH2 by pressing machine.</t>
  </si>
  <si>
    <t>7/25/2026
8/10/2026</t>
  </si>
  <si>
    <t>PSGB2</t>
  </si>
  <si>
    <t>ESR
PSGB20E337M</t>
  </si>
  <si>
    <t>Omit SYOX, Change re-anodization pattern to curve</t>
  </si>
  <si>
    <t>PE (STD) Nipaporn Supatsara Team</t>
  </si>
  <si>
    <t>Under finding the root cause and set re-anodization pattern QOD change 30 lots to line</t>
  </si>
  <si>
    <t>PSLB2</t>
  </si>
  <si>
    <t>Terminal red
B21A107M</t>
  </si>
  <si>
    <t xml:space="preserve">Get good result of glue mixing by Mazerustar
Under review &amp; trail with big q'ty to check effect of Ter Red		</t>
  </si>
  <si>
    <t>ESR &amp; LC
PSLB20E477</t>
  </si>
  <si>
    <t>-New design anode 200KCV powder
-Will apply reate voltage experiment M aging 2.5 to 5V</t>
  </si>
  <si>
    <t>PE Anode Mattika Inthira Team
PE (STD) Nipaporn Supatsara Team</t>
  </si>
  <si>
    <t xml:space="preserve">-Change review 200KCV powder lot situation at Weding 
-Under preparation </t>
  </si>
  <si>
    <t>Terminal red
B20J227M
B20J107M</t>
  </si>
  <si>
    <t>PSLB3</t>
  </si>
  <si>
    <t>ACC
PSLB30J157</t>
  </si>
  <si>
    <t>-Change SH2 spec from 0.5 to 0.3 mA to screen fryer pices</t>
  </si>
  <si>
    <t>-Follow result ACC pass ratio was improve</t>
  </si>
  <si>
    <t>Terminal red
B20J227M
B21A107M</t>
  </si>
  <si>
    <t>To compare conductive glue mixing by Mazerustar/ rentaro. Assumption : Incompleted mixing.</t>
  </si>
  <si>
    <t>ESR 
PSLB20E477</t>
  </si>
  <si>
    <t xml:space="preserve">Experiment mixing by Mazerustar mixer (Plan Jul 24)		</t>
  </si>
  <si>
    <t>Under finding the root cause</t>
  </si>
  <si>
    <t xml:space="preserve">-New design anode 200KCV powder
</t>
  </si>
  <si>
    <t>-Checking the anode properties of suspect pressing M/C
- Prepare QOD-206 Extend ACC screening from 0.4 to 0.6A</t>
  </si>
  <si>
    <t xml:space="preserve">Found high SH2 by pressing machine now under analysis </t>
  </si>
  <si>
    <t>-</t>
  </si>
  <si>
    <t>Under investigate glue wt</t>
  </si>
  <si>
    <t>Experiment mixing by Mazerustar mixer (Plan Jul 24)</t>
  </si>
  <si>
    <t>FPSA3</t>
  </si>
  <si>
    <t>Flash (+)</t>
  </si>
  <si>
    <t>Feed back to L/F supplier to analysis</t>
  </si>
  <si>
    <t>PE (FPS) Natdanai, Jirapat Team</t>
  </si>
  <si>
    <t>Found abnormal L/F lot N260625
Now, under discuss with QA feedback to maker</t>
  </si>
  <si>
    <t>ESR PSLB20E477</t>
  </si>
  <si>
    <t>New design anode 200KCV powder</t>
  </si>
  <si>
    <t xml:space="preserve">PE (STD) Nipaporn Supatsara Team
PE Anode Team Mattika Inthira </t>
  </si>
  <si>
    <t xml:space="preserve">Change review 200KCV powder lot situation at Weding </t>
  </si>
  <si>
    <t>Checking the anode properties of suspect 
pressing M/C</t>
  </si>
  <si>
    <t>ACC 
PSLB30J157M</t>
  </si>
  <si>
    <t>ESR, PFAS Free B20J227M25PF,KTA</t>
  </si>
  <si>
    <t xml:space="preserve">MK-3H Application </t>
  </si>
  <si>
    <t>FPSA2</t>
  </si>
  <si>
    <t>Appearance: L/Fscratch (1 Lot)</t>
  </si>
  <si>
    <t>Under checking problem lot. Now return to good condition</t>
  </si>
  <si>
    <t>FPSB3</t>
  </si>
  <si>
    <t>Polymer Bubble, Mold swell FPSB30E337</t>
  </si>
  <si>
    <t>Modify Anode&amp;Polymer condition</t>
  </si>
  <si>
    <t>TE (NPD) Suwicha Piyathida Team</t>
  </si>
  <si>
    <t>Welding process</t>
  </si>
  <si>
    <t>Terminal red  (A0J107)  ,ESR A0E227</t>
  </si>
  <si>
    <t>Under find glue mixing condition</t>
  </si>
  <si>
    <t>LC
PSLB30E227M</t>
  </si>
  <si>
    <t>Apply 1HD</t>
  </si>
  <si>
    <t>2HD make high LC</t>
  </si>
  <si>
    <t>ESR
Polymer bubble</t>
  </si>
  <si>
    <t>Under analysis L/F Lot.</t>
  </si>
  <si>
    <t>Under checking problem lot.</t>
  </si>
  <si>
    <t xml:space="preserve">ACC 
PSLB30J157M
</t>
  </si>
  <si>
    <r>
      <rPr>
        <sz val="9"/>
        <color rgb="FF000000"/>
        <rFont val="Arial"/>
        <family val="2"/>
      </rPr>
      <t xml:space="preserve">-
</t>
    </r>
    <r>
      <rPr>
        <sz val="9"/>
        <color rgb="FF000000"/>
        <rFont val="Arial"/>
        <family val="2"/>
      </rPr>
      <t xml:space="preserve">
</t>
    </r>
  </si>
  <si>
    <t>ESR, PFAS Free B20J227M25PF8R</t>
  </si>
  <si>
    <t>ESR
Polymer Bubble</t>
  </si>
  <si>
    <t>Target</t>
  </si>
  <si>
    <t>(End Prod)</t>
  </si>
  <si>
    <t>Grand Total</t>
  </si>
  <si>
    <t>Action</t>
  </si>
  <si>
    <t>CAN</t>
  </si>
  <si>
    <t>1)LC-SD defective from M/C (Big size product -&gt;Less lot size-higher impact)</t>
  </si>
  <si>
    <t>Improve panel damage</t>
  </si>
  <si>
    <t>EE Mtnc.</t>
  </si>
  <si>
    <t>On going</t>
  </si>
  <si>
    <t>Hi-LC def 1 lot, suspect swaging incomplete.</t>
  </si>
  <si>
    <t>Recheck swaging cond.</t>
  </si>
  <si>
    <t>PE</t>
  </si>
  <si>
    <t>SD def over from 
1) Re-screen liq leak
2) Element scratch from 17MUF.</t>
  </si>
  <si>
    <t>1) Feedback &amp; Improve at Element process.
2) Review element/insulator design.</t>
  </si>
  <si>
    <t>1) Outer case scratch/ terminal bending
2) C def from operating in CC line.</t>
  </si>
  <si>
    <t>Keep check &amp; control process effect from M/C</t>
  </si>
  <si>
    <t>Mtnc.</t>
  </si>
  <si>
    <t>SD Def from tighten SD spec for expired element</t>
  </si>
  <si>
    <t>Review SD spec</t>
  </si>
  <si>
    <t>SD def suspect over reject from operating at CC line.</t>
  </si>
  <si>
    <t>Keep maintain probe and panel.</t>
  </si>
  <si>
    <t>SD defective -&gt; Re-screen liq-leak many round.</t>
  </si>
  <si>
    <t>Keep check &amp; control process</t>
  </si>
  <si>
    <t>Laser Marking fade from change product size at plate inserting FC2 (8.4 mm to 8.1 mm).</t>
  </si>
  <si>
    <t>Issue adjusting instruction for product model change</t>
  </si>
  <si>
    <t>Not started</t>
  </si>
  <si>
    <t>C def from over reject(defective was re-screened but unable to fix MES data)</t>
  </si>
  <si>
    <t>Confirm C meas. Cond.</t>
  </si>
  <si>
    <t>1) C def from low paste weight / Hi-C def from probe error.
2) LC def from over reject.</t>
  </si>
  <si>
    <t>1) Check &amp; Change probe
2) Improve paste printing op.</t>
  </si>
  <si>
    <t>Plate crack &amp; terminal bending NG from plate inserting MC</t>
  </si>
  <si>
    <t>Adjust M/C for suitable cond.</t>
  </si>
  <si>
    <t>1)Outer case scratch from M/C</t>
  </si>
  <si>
    <t>Add sensor at inloader</t>
  </si>
  <si>
    <t>EE Eng.</t>
  </si>
  <si>
    <t>2)LC-SD defective from M/C</t>
  </si>
  <si>
    <t>C def from NG Probe</t>
  </si>
  <si>
    <t>Check probe &amp; re-screen def(Unable to fix def in MES)</t>
  </si>
  <si>
    <t>PE/EE</t>
  </si>
  <si>
    <t>Done</t>
  </si>
  <si>
    <t xml:space="preserve"> </t>
  </si>
  <si>
    <t>2)Outer case scratch from M/C</t>
  </si>
  <si>
    <t>LC-SD defective -&gt;Big size operate in CAN line</t>
  </si>
  <si>
    <t>LC-SD defective -&gt; Re-screen liq-leak many round for expired element which is MFG in problem period previous year.</t>
  </si>
  <si>
    <t>C defective 17MUF -&gt; Low paste printing (Element stock before action)</t>
  </si>
  <si>
    <t>Add check item &amp; trouble shooting for printing &amp; combine operation.</t>
  </si>
  <si>
    <t>C def 8LCRF -&gt; New Product design problem</t>
  </si>
  <si>
    <t>Under improvement with Tech.</t>
  </si>
  <si>
    <t>1) Wrong input defective q'ty in MES.</t>
  </si>
  <si>
    <t>Feedback to Prod.</t>
  </si>
  <si>
    <t>CY2025</t>
  </si>
  <si>
    <t>CY2026</t>
  </si>
  <si>
    <t>Jan'25</t>
  </si>
  <si>
    <t>Feb</t>
  </si>
  <si>
    <t>Mar</t>
  </si>
  <si>
    <t>Apr</t>
  </si>
  <si>
    <t>May</t>
  </si>
  <si>
    <t>Jun</t>
  </si>
  <si>
    <t>Jul</t>
  </si>
  <si>
    <t>Aug</t>
  </si>
  <si>
    <t>Sep</t>
  </si>
  <si>
    <t>Oct</t>
  </si>
  <si>
    <t>Nov</t>
  </si>
  <si>
    <t>Dec</t>
  </si>
  <si>
    <t>Jan'26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</si>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</sst>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_);_(* \(#,##0.0\);_(* &quot;-&quot;??_);_(@_)"/>
    <numFmt numFmtId="167" formatCode="[$-409]d\-mmm;@"/>
  </numFmts>
  <fonts count="19" x14ac:knownFonts="1">
    <font>
      <sz val="11"/>
      <color theme="1"/>
      <name val="Aptos Narrow"/>
      <family val="2"/>
      <scheme val="minor"/>
    </font>
    <font>
      <sz val="11"/>
      <color theme="1"/>
      <name val="Aptos Narrow"/>
      <family val="2"/>
      <scheme val="minor"/>
    </font>
    <font>
      <sz val="9"/>
      <color theme="1"/>
      <name val="Arial"/>
      <family val="2"/>
    </font>
    <font>
      <u/>
      <sz val="9"/>
      <color theme="1"/>
      <name val="Arial"/>
      <family val="2"/>
    </font>
    <font>
      <b/>
      <sz val="9"/>
      <name val="Arial"/>
      <family val="2"/>
    </font>
    <font>
      <sz val="9"/>
      <name val="Arial"/>
      <family val="2"/>
    </font>
    <font>
      <sz val="9"/>
      <color theme="0"/>
      <name val="Arial"/>
      <family val="2"/>
    </font>
    <font>
      <b/>
      <sz val="9"/>
      <color rgb="FF0000FF"/>
      <name val="Arial"/>
      <family val="2"/>
    </font>
    <font>
      <sz val="8"/>
      <name val="Aptos Narrow"/>
      <family val="2"/>
      <scheme val="minor"/>
    </font>
    <font>
      <b/>
      <sz val="9"/>
      <color theme="1"/>
      <name val="Arial"/>
      <family val="2"/>
    </font>
    <font>
      <sz val="9"/>
      <color indexed="81"/>
      <name val="Tahoma"/>
      <family val="2"/>
    </font>
    <font>
      <b/>
      <sz val="9"/>
      <color indexed="81"/>
      <name val="Tahoma"/>
      <family val="2"/>
    </font>
    <font>
      <sz val="9"/>
      <color rgb="FF000000"/>
      <name val="Arial"/>
      <family val="2"/>
    </font>
    <font>
      <sz val="10"/>
      <name val="Arial"/>
      <family val="2"/>
    </font>
    <font>
      <b/>
      <sz val="9"/>
      <color rgb="FF000000"/>
      <name val="Arial"/>
      <family val="2"/>
    </font>
    <font>
      <sz val="9"/>
      <color rgb="FF0000FF"/>
      <name val="Arial"/>
      <family val="2"/>
    </font>
    <font>
      <b/>
      <sz val="9"/>
      <color rgb="FF000000"/>
      <name val="Arial"/>
    </font>
    <font>
      <sz val="9"/>
      <color rgb="FF000000"/>
      <name val="Arial"/>
    </font>
    <font>
      <sz val="9"/>
      <color theme="1"/>
      <name val="Arial"/>
    </font>
  </fonts>
  <fills count="12">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5" tint="0.59999389629810485"/>
        <bgColor indexed="64"/>
      </patternFill>
    </fill>
  </fills>
  <borders count="5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bottom/>
      <diagonal/>
    </border>
    <border>
      <left/>
      <right/>
      <top style="medium">
        <color indexed="64"/>
      </top>
      <bottom style="medium">
        <color indexed="64"/>
      </bottom>
      <diagonal/>
    </border>
    <border>
      <left/>
      <right style="thin">
        <color indexed="64"/>
      </right>
      <top style="dotted">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style="thin">
        <color indexed="64"/>
      </left>
      <right/>
      <top style="dotted">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rgb="FF000000"/>
      </right>
      <top/>
      <bottom style="thin">
        <color rgb="FF000000"/>
      </bottom>
      <diagonal/>
    </border>
  </borders>
  <cellStyleXfs count="4">
    <xf numFmtId="0" fontId="0" fillId="0" borderId="0"/>
    <xf numFmtId="43" fontId="1" fillId="0" borderId="0" applyFont="0" applyFill="0" applyBorder="0" applyAlignment="0" applyProtection="0"/>
    <xf numFmtId="0" fontId="1" fillId="0" borderId="0"/>
    <xf numFmtId="0" fontId="13" fillId="0" borderId="0"/>
  </cellStyleXfs>
  <cellXfs count="219">
    <xf numFmtId="0" fontId="0" fillId="0" borderId="0" xfId="0"/>
    <xf numFmtId="0" fontId="2" fillId="0" borderId="0" xfId="0" applyFont="1"/>
    <xf numFmtId="164" fontId="2" fillId="0" borderId="0" xfId="1" applyNumberFormat="1" applyFont="1"/>
    <xf numFmtId="0" fontId="2" fillId="2" borderId="0" xfId="0" applyFont="1" applyFill="1"/>
    <xf numFmtId="0" fontId="2" fillId="0" borderId="3" xfId="0" applyFont="1" applyBorder="1"/>
    <xf numFmtId="0" fontId="2" fillId="0" borderId="4" xfId="0" applyFont="1" applyBorder="1"/>
    <xf numFmtId="0" fontId="2" fillId="0" borderId="1" xfId="0" applyFont="1" applyBorder="1"/>
    <xf numFmtId="14" fontId="3" fillId="2" borderId="0" xfId="0" applyNumberFormat="1" applyFont="1" applyFill="1"/>
    <xf numFmtId="0" fontId="3" fillId="2" borderId="0" xfId="0" applyFont="1" applyFill="1"/>
    <xf numFmtId="0" fontId="2" fillId="0" borderId="2" xfId="0" applyFont="1" applyBorder="1"/>
    <xf numFmtId="164" fontId="2" fillId="0" borderId="2" xfId="1" applyNumberFormat="1" applyFont="1" applyBorder="1"/>
    <xf numFmtId="164" fontId="2" fillId="0" borderId="2" xfId="0" applyNumberFormat="1" applyFont="1" applyBorder="1"/>
    <xf numFmtId="165" fontId="2" fillId="0" borderId="2" xfId="0" applyNumberFormat="1" applyFont="1" applyBorder="1"/>
    <xf numFmtId="9" fontId="2" fillId="0" borderId="0" xfId="0" applyNumberFormat="1" applyFont="1"/>
    <xf numFmtId="0" fontId="4" fillId="0" borderId="5" xfId="0" applyFont="1" applyBorder="1" applyAlignment="1">
      <alignment horizontal="center" vertical="center"/>
    </xf>
    <xf numFmtId="0" fontId="4" fillId="0" borderId="6" xfId="0" applyFont="1" applyBorder="1" applyAlignment="1">
      <alignment horizontal="center" vertical="center"/>
    </xf>
    <xf numFmtId="16" fontId="2" fillId="0" borderId="8" xfId="0" applyNumberFormat="1" applyFont="1" applyBorder="1" applyAlignment="1">
      <alignment horizontal="centerContinuous"/>
    </xf>
    <xf numFmtId="0" fontId="2" fillId="0" borderId="9" xfId="0" applyFont="1" applyBorder="1" applyAlignment="1">
      <alignment horizontal="centerContinuous"/>
    </xf>
    <xf numFmtId="0" fontId="2" fillId="0" borderId="10" xfId="0" applyFont="1" applyBorder="1" applyAlignment="1">
      <alignment horizontal="centerContinuous"/>
    </xf>
    <xf numFmtId="0" fontId="2" fillId="3" borderId="6" xfId="0" applyFont="1" applyFill="1" applyBorder="1"/>
    <xf numFmtId="164" fontId="2" fillId="0" borderId="3" xfId="1" applyNumberFormat="1" applyFont="1" applyBorder="1"/>
    <xf numFmtId="164" fontId="2" fillId="3" borderId="6" xfId="1" applyNumberFormat="1" applyFont="1" applyFill="1" applyBorder="1"/>
    <xf numFmtId="164" fontId="2" fillId="0" borderId="1" xfId="1" applyNumberFormat="1" applyFont="1" applyBorder="1"/>
    <xf numFmtId="0" fontId="2" fillId="0" borderId="6" xfId="0" applyFont="1" applyBorder="1" applyAlignment="1">
      <alignment horizontal="center"/>
    </xf>
    <xf numFmtId="2" fontId="2" fillId="3" borderId="6" xfId="0" applyNumberFormat="1" applyFont="1" applyFill="1" applyBorder="1"/>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4" fillId="0" borderId="17" xfId="0" applyFont="1" applyBorder="1" applyAlignment="1">
      <alignment horizontal="right" vertical="center"/>
    </xf>
    <xf numFmtId="0" fontId="4" fillId="0" borderId="18" xfId="0" applyFont="1" applyBorder="1" applyAlignment="1">
      <alignment horizontal="right" vertical="center"/>
    </xf>
    <xf numFmtId="0" fontId="4" fillId="4" borderId="15" xfId="0" applyFont="1" applyFill="1" applyBorder="1" applyAlignment="1">
      <alignment horizontal="center" vertical="center"/>
    </xf>
    <xf numFmtId="0" fontId="2" fillId="0" borderId="19" xfId="0" applyFont="1" applyBorder="1"/>
    <xf numFmtId="0" fontId="2" fillId="0" borderId="20" xfId="0" applyFont="1" applyBorder="1"/>
    <xf numFmtId="0" fontId="2" fillId="0" borderId="11" xfId="0" applyFont="1" applyBorder="1"/>
    <xf numFmtId="0" fontId="2" fillId="0" borderId="21" xfId="0" applyFont="1" applyBorder="1"/>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164" fontId="2" fillId="0" borderId="25" xfId="1" applyNumberFormat="1" applyFont="1" applyBorder="1"/>
    <xf numFmtId="43" fontId="2" fillId="0" borderId="25" xfId="1" applyFont="1" applyBorder="1"/>
    <xf numFmtId="43" fontId="2" fillId="0" borderId="2" xfId="1" applyFont="1" applyBorder="1"/>
    <xf numFmtId="0" fontId="5" fillId="0" borderId="27" xfId="0" applyFont="1" applyBorder="1" applyAlignment="1">
      <alignment horizontal="center" vertical="center"/>
    </xf>
    <xf numFmtId="0" fontId="2" fillId="0" borderId="28" xfId="0" applyFont="1" applyBorder="1"/>
    <xf numFmtId="0" fontId="2" fillId="0" borderId="29" xfId="0" applyFont="1" applyBorder="1"/>
    <xf numFmtId="0" fontId="2" fillId="4" borderId="2" xfId="0" applyFont="1" applyFill="1" applyBorder="1"/>
    <xf numFmtId="164" fontId="2" fillId="3" borderId="2" xfId="1" applyNumberFormat="1" applyFont="1" applyFill="1" applyBorder="1"/>
    <xf numFmtId="164" fontId="2" fillId="3" borderId="2" xfId="0" applyNumberFormat="1" applyFont="1" applyFill="1" applyBorder="1"/>
    <xf numFmtId="165" fontId="2" fillId="3" borderId="2" xfId="0" applyNumberFormat="1" applyFont="1" applyFill="1" applyBorder="1"/>
    <xf numFmtId="0" fontId="2" fillId="0" borderId="8" xfId="0" applyFont="1" applyBorder="1"/>
    <xf numFmtId="0" fontId="2" fillId="0" borderId="30" xfId="0" applyFont="1" applyBorder="1"/>
    <xf numFmtId="164" fontId="2" fillId="0" borderId="21" xfId="1" applyNumberFormat="1" applyFont="1" applyBorder="1"/>
    <xf numFmtId="164" fontId="2" fillId="0" borderId="21" xfId="0" applyNumberFormat="1" applyFont="1" applyBorder="1"/>
    <xf numFmtId="0" fontId="2" fillId="3" borderId="3" xfId="0" applyFont="1" applyFill="1" applyBorder="1"/>
    <xf numFmtId="0" fontId="2" fillId="0" borderId="31" xfId="0" applyFont="1" applyBorder="1"/>
    <xf numFmtId="16" fontId="6" fillId="5" borderId="8" xfId="0" applyNumberFormat="1" applyFont="1" applyFill="1" applyBorder="1" applyAlignment="1">
      <alignment horizontal="centerContinuous"/>
    </xf>
    <xf numFmtId="0" fontId="6" fillId="5" borderId="9" xfId="0" applyFont="1" applyFill="1" applyBorder="1" applyAlignment="1">
      <alignment horizontal="centerContinuous"/>
    </xf>
    <xf numFmtId="0" fontId="6" fillId="5" borderId="10" xfId="0" applyFont="1" applyFill="1" applyBorder="1" applyAlignment="1">
      <alignment horizontal="centerContinuous"/>
    </xf>
    <xf numFmtId="0" fontId="2" fillId="6" borderId="3" xfId="0" applyFont="1" applyFill="1" applyBorder="1" applyAlignment="1">
      <alignment horizontal="centerContinuous"/>
    </xf>
    <xf numFmtId="0" fontId="2" fillId="6" borderId="6" xfId="0" applyFont="1" applyFill="1" applyBorder="1" applyAlignment="1">
      <alignment horizontal="center"/>
    </xf>
    <xf numFmtId="166" fontId="2" fillId="0" borderId="2" xfId="0" applyNumberFormat="1" applyFont="1" applyBorder="1"/>
    <xf numFmtId="43" fontId="2" fillId="0" borderId="0" xfId="0" applyNumberFormat="1" applyFont="1"/>
    <xf numFmtId="164" fontId="2" fillId="0" borderId="4" xfId="1" applyNumberFormat="1" applyFont="1" applyBorder="1"/>
    <xf numFmtId="0" fontId="2" fillId="3" borderId="2" xfId="0" applyFont="1" applyFill="1" applyBorder="1"/>
    <xf numFmtId="0" fontId="2" fillId="7" borderId="2" xfId="0" applyFont="1" applyFill="1" applyBorder="1"/>
    <xf numFmtId="0" fontId="2" fillId="7" borderId="2" xfId="0" applyFont="1" applyFill="1" applyBorder="1" applyAlignment="1">
      <alignment horizontal="center"/>
    </xf>
    <xf numFmtId="40" fontId="2" fillId="0" borderId="0" xfId="1" applyNumberFormat="1" applyFont="1"/>
    <xf numFmtId="40" fontId="2" fillId="3" borderId="0" xfId="1" applyNumberFormat="1" applyFont="1" applyFill="1"/>
    <xf numFmtId="0" fontId="7" fillId="2" borderId="0" xfId="0" applyFont="1" applyFill="1"/>
    <xf numFmtId="0" fontId="2" fillId="3" borderId="21" xfId="0" applyFont="1" applyFill="1" applyBorder="1"/>
    <xf numFmtId="0" fontId="2" fillId="4" borderId="3" xfId="0" applyFont="1" applyFill="1" applyBorder="1"/>
    <xf numFmtId="0" fontId="2" fillId="0" borderId="10" xfId="0" applyFont="1" applyBorder="1"/>
    <xf numFmtId="0" fontId="2" fillId="0" borderId="12" xfId="0" applyFont="1" applyBorder="1"/>
    <xf numFmtId="43" fontId="2" fillId="0" borderId="3" xfId="1" applyFont="1" applyBorder="1"/>
    <xf numFmtId="43" fontId="2" fillId="3" borderId="6" xfId="1" applyFont="1" applyFill="1" applyBorder="1"/>
    <xf numFmtId="0" fontId="2" fillId="0" borderId="32" xfId="0" applyFont="1" applyBorder="1"/>
    <xf numFmtId="0" fontId="2" fillId="3" borderId="33" xfId="0" applyFont="1" applyFill="1" applyBorder="1"/>
    <xf numFmtId="0" fontId="2" fillId="3" borderId="7" xfId="0" applyFont="1" applyFill="1" applyBorder="1"/>
    <xf numFmtId="164" fontId="2" fillId="3" borderId="6" xfId="0" applyNumberFormat="1" applyFont="1" applyFill="1" applyBorder="1"/>
    <xf numFmtId="43" fontId="2" fillId="3" borderId="6" xfId="0" applyNumberFormat="1" applyFont="1" applyFill="1" applyBorder="1"/>
    <xf numFmtId="0" fontId="5" fillId="0" borderId="31" xfId="0" applyFont="1" applyBorder="1" applyAlignment="1">
      <alignment horizontal="center" vertical="center"/>
    </xf>
    <xf numFmtId="0" fontId="5" fillId="0" borderId="30" xfId="0" applyFont="1" applyBorder="1" applyAlignment="1">
      <alignment horizontal="center" vertical="center"/>
    </xf>
    <xf numFmtId="0" fontId="4" fillId="3" borderId="13" xfId="0" applyFont="1" applyFill="1" applyBorder="1" applyAlignment="1">
      <alignment horizontal="left" vertical="center"/>
    </xf>
    <xf numFmtId="0" fontId="5" fillId="0" borderId="34" xfId="0" applyFont="1" applyBorder="1" applyAlignment="1">
      <alignment horizontal="center" vertical="center"/>
    </xf>
    <xf numFmtId="10" fontId="2" fillId="0" borderId="2" xfId="0" applyNumberFormat="1" applyFont="1" applyBorder="1"/>
    <xf numFmtId="10" fontId="2" fillId="0" borderId="2" xfId="0" applyNumberFormat="1" applyFont="1" applyBorder="1" applyAlignment="1">
      <alignment horizontal="center"/>
    </xf>
    <xf numFmtId="10" fontId="2" fillId="0" borderId="3" xfId="0" applyNumberFormat="1" applyFont="1" applyBorder="1" applyAlignment="1">
      <alignment horizontal="center"/>
    </xf>
    <xf numFmtId="0" fontId="5" fillId="0" borderId="35" xfId="0" applyFont="1" applyBorder="1" applyAlignment="1">
      <alignment horizontal="center" vertical="center"/>
    </xf>
    <xf numFmtId="0" fontId="5" fillId="0" borderId="28" xfId="0" applyFont="1" applyBorder="1" applyAlignment="1">
      <alignment horizontal="center" vertical="center"/>
    </xf>
    <xf numFmtId="10" fontId="2" fillId="0" borderId="1" xfId="0" applyNumberFormat="1" applyFont="1" applyBorder="1" applyAlignment="1">
      <alignment horizontal="center"/>
    </xf>
    <xf numFmtId="0" fontId="4" fillId="3" borderId="33" xfId="0" applyFont="1" applyFill="1" applyBorder="1" applyAlignment="1">
      <alignment horizontal="right" vertical="center"/>
    </xf>
    <xf numFmtId="10" fontId="2" fillId="3" borderId="6" xfId="0" applyNumberFormat="1" applyFont="1" applyFill="1" applyBorder="1" applyAlignment="1">
      <alignment horizontal="center"/>
    </xf>
    <xf numFmtId="0" fontId="2" fillId="0" borderId="36" xfId="0" applyFont="1" applyBorder="1"/>
    <xf numFmtId="0" fontId="4" fillId="3" borderId="13" xfId="0" applyFont="1" applyFill="1" applyBorder="1" applyAlignment="1">
      <alignment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9" fillId="0" borderId="8" xfId="0" applyFont="1" applyBorder="1" applyAlignment="1">
      <alignment horizontal="centerContinuous"/>
    </xf>
    <xf numFmtId="0" fontId="9" fillId="0" borderId="9" xfId="0" applyFont="1" applyBorder="1" applyAlignment="1">
      <alignment horizontal="centerContinuous"/>
    </xf>
    <xf numFmtId="0" fontId="9" fillId="0" borderId="10" xfId="0" applyFont="1" applyBorder="1" applyAlignment="1">
      <alignment horizontal="centerContinuous"/>
    </xf>
    <xf numFmtId="0" fontId="9" fillId="2" borderId="6" xfId="0" applyFont="1" applyFill="1" applyBorder="1" applyAlignment="1">
      <alignment horizontal="center"/>
    </xf>
    <xf numFmtId="10" fontId="2" fillId="3" borderId="22" xfId="0" applyNumberFormat="1" applyFont="1" applyFill="1" applyBorder="1" applyAlignment="1">
      <alignment horizontal="center"/>
    </xf>
    <xf numFmtId="10" fontId="2" fillId="0" borderId="3" xfId="0" applyNumberFormat="1" applyFont="1" applyBorder="1"/>
    <xf numFmtId="10" fontId="2" fillId="3" borderId="6" xfId="0" applyNumberFormat="1" applyFont="1" applyFill="1" applyBorder="1"/>
    <xf numFmtId="10" fontId="2" fillId="0" borderId="1" xfId="0" applyNumberFormat="1" applyFont="1" applyBorder="1"/>
    <xf numFmtId="10" fontId="2" fillId="3" borderId="22" xfId="0" applyNumberFormat="1" applyFont="1" applyFill="1" applyBorder="1"/>
    <xf numFmtId="14" fontId="3" fillId="2" borderId="0" xfId="2" applyNumberFormat="1" applyFont="1" applyFill="1"/>
    <xf numFmtId="43" fontId="2" fillId="8" borderId="2" xfId="1" applyFont="1" applyFill="1" applyBorder="1"/>
    <xf numFmtId="43" fontId="2" fillId="8" borderId="3" xfId="1" applyFont="1" applyFill="1" applyBorder="1"/>
    <xf numFmtId="43" fontId="2" fillId="9" borderId="25" xfId="1" applyFont="1" applyFill="1" applyBorder="1"/>
    <xf numFmtId="0" fontId="2" fillId="0" borderId="37" xfId="0" applyFont="1" applyBorder="1" applyAlignment="1">
      <alignment vertical="center" wrapText="1"/>
    </xf>
    <xf numFmtId="0" fontId="2" fillId="0" borderId="37" xfId="0" applyFont="1" applyBorder="1" applyAlignment="1">
      <alignment horizontal="center" vertical="center" wrapText="1"/>
    </xf>
    <xf numFmtId="0" fontId="2" fillId="10" borderId="37" xfId="0" applyFont="1" applyFill="1" applyBorder="1" applyAlignment="1">
      <alignment horizontal="center"/>
    </xf>
    <xf numFmtId="0" fontId="12" fillId="0" borderId="0" xfId="0" applyFont="1"/>
    <xf numFmtId="0" fontId="2" fillId="0" borderId="39" xfId="0" applyFont="1" applyBorder="1" applyAlignment="1">
      <alignment vertical="center" wrapText="1"/>
    </xf>
    <xf numFmtId="43" fontId="2" fillId="9" borderId="2" xfId="1" applyFont="1" applyFill="1" applyBorder="1"/>
    <xf numFmtId="0" fontId="2" fillId="0" borderId="0" xfId="0" applyFont="1" applyAlignment="1">
      <alignment wrapText="1"/>
    </xf>
    <xf numFmtId="0" fontId="2" fillId="0" borderId="38" xfId="0" applyFont="1" applyBorder="1" applyAlignment="1">
      <alignment vertical="center" wrapText="1"/>
    </xf>
    <xf numFmtId="0" fontId="2" fillId="0" borderId="38" xfId="0" applyFont="1" applyBorder="1" applyAlignment="1">
      <alignment horizontal="center" vertical="center" wrapText="1"/>
    </xf>
    <xf numFmtId="164" fontId="2" fillId="0" borderId="25" xfId="1" applyNumberFormat="1" applyFont="1" applyFill="1" applyBorder="1"/>
    <xf numFmtId="164" fontId="2" fillId="0" borderId="2" xfId="1" applyNumberFormat="1" applyFont="1" applyFill="1" applyBorder="1"/>
    <xf numFmtId="43" fontId="2" fillId="0" borderId="3" xfId="1" applyFont="1" applyFill="1" applyBorder="1"/>
    <xf numFmtId="164" fontId="2" fillId="0" borderId="3" xfId="1" applyNumberFormat="1" applyFont="1" applyFill="1" applyBorder="1"/>
    <xf numFmtId="164" fontId="2" fillId="0" borderId="2" xfId="1" applyNumberFormat="1" applyFont="1" applyFill="1" applyBorder="1" applyAlignment="1">
      <alignment horizontal="right"/>
    </xf>
    <xf numFmtId="43" fontId="2" fillId="8" borderId="25" xfId="1" applyFont="1" applyFill="1" applyBorder="1"/>
    <xf numFmtId="43" fontId="2" fillId="11" borderId="2" xfId="1" applyFont="1" applyFill="1" applyBorder="1"/>
    <xf numFmtId="2" fontId="2" fillId="8" borderId="25" xfId="0" applyNumberFormat="1" applyFont="1" applyFill="1" applyBorder="1"/>
    <xf numFmtId="2" fontId="2" fillId="8" borderId="2" xfId="0" applyNumberFormat="1" applyFont="1" applyFill="1" applyBorder="1"/>
    <xf numFmtId="2" fontId="2" fillId="8" borderId="3" xfId="0" applyNumberFormat="1" applyFont="1" applyFill="1" applyBorder="1"/>
    <xf numFmtId="2" fontId="2" fillId="11" borderId="25" xfId="0" applyNumberFormat="1" applyFont="1" applyFill="1" applyBorder="1"/>
    <xf numFmtId="43" fontId="2" fillId="11" borderId="25" xfId="1" applyFont="1" applyFill="1" applyBorder="1"/>
    <xf numFmtId="16" fontId="2" fillId="0" borderId="37" xfId="0" applyNumberFormat="1" applyFont="1" applyBorder="1" applyAlignment="1">
      <alignment horizontal="center" vertical="center" wrapText="1"/>
    </xf>
    <xf numFmtId="0" fontId="2" fillId="0" borderId="0" xfId="0" applyFont="1" applyAlignment="1">
      <alignment horizontal="left"/>
    </xf>
    <xf numFmtId="0" fontId="2" fillId="0" borderId="40" xfId="0" applyFont="1" applyBorder="1" applyAlignment="1">
      <alignment vertical="center" wrapText="1"/>
    </xf>
    <xf numFmtId="0" fontId="2" fillId="10" borderId="40" xfId="0" applyFont="1" applyFill="1" applyBorder="1" applyAlignment="1">
      <alignment horizontal="center"/>
    </xf>
    <xf numFmtId="0" fontId="2" fillId="0" borderId="37" xfId="0" applyFont="1" applyBorder="1" applyAlignment="1">
      <alignment horizontal="left" vertical="center" wrapText="1"/>
    </xf>
    <xf numFmtId="2" fontId="2" fillId="11" borderId="3" xfId="0" applyNumberFormat="1" applyFont="1" applyFill="1" applyBorder="1"/>
    <xf numFmtId="0" fontId="2" fillId="0" borderId="45" xfId="0" applyFont="1" applyBorder="1"/>
    <xf numFmtId="0" fontId="2" fillId="0" borderId="37" xfId="0" applyFont="1" applyBorder="1" applyAlignment="1">
      <alignment horizontal="center" vertical="center"/>
    </xf>
    <xf numFmtId="16" fontId="2" fillId="0" borderId="38" xfId="0" applyNumberFormat="1" applyFont="1" applyBorder="1" applyAlignment="1">
      <alignment horizontal="center" vertical="center"/>
    </xf>
    <xf numFmtId="0" fontId="2" fillId="0" borderId="40" xfId="0" applyFont="1" applyBorder="1" applyAlignment="1">
      <alignment horizontal="center" vertical="center"/>
    </xf>
    <xf numFmtId="0" fontId="2" fillId="0" borderId="41" xfId="0" applyFont="1" applyBorder="1" applyAlignment="1">
      <alignment vertical="center" wrapText="1"/>
    </xf>
    <xf numFmtId="0" fontId="2" fillId="0" borderId="37" xfId="0" applyFont="1" applyBorder="1" applyAlignment="1">
      <alignment wrapText="1"/>
    </xf>
    <xf numFmtId="0" fontId="2" fillId="0" borderId="46" xfId="0" applyFont="1" applyBorder="1"/>
    <xf numFmtId="16" fontId="2" fillId="0" borderId="45" xfId="0" applyNumberFormat="1" applyFont="1" applyBorder="1" applyAlignment="1">
      <alignment horizontal="center" vertical="center"/>
    </xf>
    <xf numFmtId="14" fontId="3" fillId="0" borderId="0" xfId="2" applyNumberFormat="1" applyFont="1"/>
    <xf numFmtId="16" fontId="2" fillId="0" borderId="46" xfId="0" applyNumberFormat="1" applyFont="1" applyBorder="1" applyAlignment="1">
      <alignment horizontal="center" vertical="center"/>
    </xf>
    <xf numFmtId="2" fontId="2" fillId="11" borderId="2" xfId="0" applyNumberFormat="1" applyFont="1" applyFill="1" applyBorder="1"/>
    <xf numFmtId="2" fontId="2" fillId="0" borderId="3" xfId="0" applyNumberFormat="1" applyFont="1" applyBorder="1"/>
    <xf numFmtId="0" fontId="2" fillId="0" borderId="0" xfId="0" applyFont="1" applyAlignment="1">
      <alignment horizontal="center" vertical="center"/>
    </xf>
    <xf numFmtId="14" fontId="3" fillId="0" borderId="0" xfId="2" applyNumberFormat="1" applyFont="1" applyAlignment="1">
      <alignment horizontal="center" vertical="center"/>
    </xf>
    <xf numFmtId="0" fontId="2" fillId="0" borderId="2" xfId="0" applyFont="1" applyBorder="1" applyAlignment="1">
      <alignment horizontal="center" vertical="center" wrapText="1"/>
    </xf>
    <xf numFmtId="0" fontId="2" fillId="10" borderId="2" xfId="0" applyFont="1" applyFill="1" applyBorder="1" applyAlignment="1">
      <alignment horizontal="center" vertical="center" wrapText="1"/>
    </xf>
    <xf numFmtId="167" fontId="2" fillId="0" borderId="2" xfId="2" applyNumberFormat="1" applyFont="1" applyBorder="1" applyAlignment="1">
      <alignment horizontal="center" vertical="center" wrapText="1"/>
    </xf>
    <xf numFmtId="0" fontId="2" fillId="0" borderId="0" xfId="0" applyFont="1" applyAlignment="1">
      <alignment horizontal="center" vertical="center" wrapText="1"/>
    </xf>
    <xf numFmtId="14" fontId="3" fillId="0" borderId="0" xfId="2" applyNumberFormat="1" applyFont="1" applyAlignment="1">
      <alignment horizontal="center" vertical="center" wrapText="1"/>
    </xf>
    <xf numFmtId="43" fontId="2" fillId="0" borderId="25" xfId="1" applyFont="1" applyFill="1" applyBorder="1"/>
    <xf numFmtId="43" fontId="2" fillId="0" borderId="2" xfId="1" applyFont="1" applyFill="1" applyBorder="1"/>
    <xf numFmtId="0" fontId="2" fillId="10" borderId="44" xfId="0" applyFont="1" applyFill="1" applyBorder="1" applyAlignment="1">
      <alignment horizontal="center"/>
    </xf>
    <xf numFmtId="0" fontId="2" fillId="0" borderId="3" xfId="0" applyFont="1" applyBorder="1" applyAlignment="1">
      <alignment horizontal="center" vertical="center" wrapText="1"/>
    </xf>
    <xf numFmtId="16" fontId="2" fillId="0" borderId="3" xfId="0" applyNumberFormat="1" applyFont="1" applyBorder="1" applyAlignment="1">
      <alignment horizontal="center" vertical="center" wrapText="1"/>
    </xf>
    <xf numFmtId="0" fontId="12" fillId="0" borderId="43" xfId="0" applyFont="1" applyBorder="1" applyAlignment="1">
      <alignment vertical="center" wrapText="1"/>
    </xf>
    <xf numFmtId="0" fontId="12" fillId="0" borderId="40" xfId="0" applyFont="1" applyBorder="1" applyAlignment="1">
      <alignment vertical="center" wrapText="1"/>
    </xf>
    <xf numFmtId="16" fontId="2" fillId="0" borderId="42" xfId="0" applyNumberFormat="1" applyFont="1" applyBorder="1" applyAlignment="1">
      <alignment horizontal="center" vertical="center"/>
    </xf>
    <xf numFmtId="0" fontId="2" fillId="0" borderId="50" xfId="0" applyFont="1" applyBorder="1" applyAlignment="1">
      <alignment vertical="center" wrapText="1"/>
    </xf>
    <xf numFmtId="0" fontId="2" fillId="0" borderId="0" xfId="0" applyFont="1" applyAlignment="1">
      <alignment vertical="center" wrapText="1"/>
    </xf>
    <xf numFmtId="16" fontId="18" fillId="0" borderId="3" xfId="0" applyNumberFormat="1" applyFont="1" applyBorder="1" applyAlignment="1">
      <alignment horizontal="center" vertical="center" wrapText="1"/>
    </xf>
    <xf numFmtId="0" fontId="18" fillId="0" borderId="3" xfId="0" applyFont="1" applyBorder="1" applyAlignment="1">
      <alignment horizontal="center" vertical="center" wrapText="1"/>
    </xf>
    <xf numFmtId="0" fontId="18" fillId="0" borderId="39" xfId="0" applyFont="1" applyBorder="1" applyAlignment="1">
      <alignment vertical="center" wrapText="1"/>
    </xf>
    <xf numFmtId="0" fontId="18" fillId="0" borderId="37" xfId="0" applyFont="1" applyBorder="1" applyAlignment="1">
      <alignment horizontal="center" vertical="center" wrapText="1"/>
    </xf>
    <xf numFmtId="0" fontId="18" fillId="0" borderId="0" xfId="0" applyFont="1"/>
    <xf numFmtId="0" fontId="2" fillId="0" borderId="44" xfId="0" applyFont="1" applyBorder="1" applyAlignment="1">
      <alignment vertical="center" wrapText="1"/>
    </xf>
    <xf numFmtId="0" fontId="2" fillId="0" borderId="43" xfId="0" applyFont="1" applyBorder="1" applyAlignment="1">
      <alignment vertical="center" wrapText="1"/>
    </xf>
    <xf numFmtId="0" fontId="2" fillId="0" borderId="46" xfId="0" applyFont="1" applyBorder="1" applyAlignment="1">
      <alignment vertical="center" wrapText="1"/>
    </xf>
    <xf numFmtId="0" fontId="2" fillId="0" borderId="40" xfId="0" quotePrefix="1" applyFont="1" applyBorder="1" applyAlignment="1">
      <alignment horizontal="left" vertical="center" wrapText="1"/>
    </xf>
    <xf numFmtId="0" fontId="2" fillId="0" borderId="43" xfId="0" applyFont="1" applyBorder="1" applyAlignment="1">
      <alignment horizontal="left" vertical="center" wrapText="1"/>
    </xf>
    <xf numFmtId="0" fontId="2" fillId="0" borderId="39" xfId="0" applyFont="1" applyBorder="1" applyAlignment="1">
      <alignment horizontal="left" vertical="center" wrapText="1"/>
    </xf>
    <xf numFmtId="15" fontId="2" fillId="0" borderId="40" xfId="0" applyNumberFormat="1" applyFont="1" applyBorder="1" applyAlignment="1">
      <alignment horizontal="center" vertical="center" wrapText="1"/>
    </xf>
    <xf numFmtId="15" fontId="2" fillId="0" borderId="39" xfId="0" applyNumberFormat="1" applyFont="1" applyBorder="1" applyAlignment="1">
      <alignment horizontal="center" vertical="center" wrapText="1"/>
    </xf>
    <xf numFmtId="0" fontId="12" fillId="0" borderId="40" xfId="0" quotePrefix="1" applyFont="1" applyBorder="1" applyAlignment="1">
      <alignment horizontal="left" vertical="center" wrapText="1"/>
    </xf>
    <xf numFmtId="0" fontId="2" fillId="0" borderId="40" xfId="0" applyFont="1" applyBorder="1" applyAlignment="1">
      <alignment horizontal="left" vertical="center" wrapText="1"/>
    </xf>
    <xf numFmtId="0" fontId="2" fillId="10" borderId="40" xfId="0" applyFont="1" applyFill="1" applyBorder="1" applyAlignment="1">
      <alignment horizontal="center"/>
    </xf>
    <xf numFmtId="0" fontId="2" fillId="10" borderId="43" xfId="0" applyFont="1" applyFill="1" applyBorder="1" applyAlignment="1">
      <alignment horizontal="center"/>
    </xf>
    <xf numFmtId="0" fontId="2" fillId="10" borderId="39" xfId="0" applyFont="1" applyFill="1" applyBorder="1" applyAlignment="1">
      <alignment horizontal="center"/>
    </xf>
    <xf numFmtId="16" fontId="2" fillId="0" borderId="38" xfId="0" applyNumberFormat="1" applyFont="1" applyBorder="1" applyAlignment="1">
      <alignment horizontal="center" vertical="center"/>
    </xf>
    <xf numFmtId="16" fontId="2" fillId="0" borderId="45" xfId="0" applyNumberFormat="1" applyFont="1" applyBorder="1" applyAlignment="1">
      <alignment horizontal="center" vertical="center"/>
    </xf>
    <xf numFmtId="0" fontId="2" fillId="0" borderId="39" xfId="0" quotePrefix="1" applyFont="1" applyBorder="1" applyAlignment="1">
      <alignment horizontal="left" vertical="center" wrapText="1"/>
    </xf>
    <xf numFmtId="0" fontId="2" fillId="0" borderId="40" xfId="0" quotePrefix="1" applyFont="1" applyBorder="1" applyAlignment="1">
      <alignment horizontal="left" vertical="center"/>
    </xf>
    <xf numFmtId="0" fontId="12" fillId="0" borderId="43" xfId="0" quotePrefix="1" applyFont="1" applyBorder="1" applyAlignment="1">
      <alignment horizontal="left" vertical="center" wrapText="1"/>
    </xf>
    <xf numFmtId="0" fontId="12" fillId="0" borderId="39" xfId="0" quotePrefix="1" applyFont="1" applyBorder="1" applyAlignment="1">
      <alignment horizontal="left" vertical="center" wrapText="1"/>
    </xf>
    <xf numFmtId="16" fontId="2" fillId="0" borderId="47" xfId="0" applyNumberFormat="1" applyFont="1" applyBorder="1" applyAlignment="1">
      <alignment horizontal="center"/>
    </xf>
    <xf numFmtId="16" fontId="2" fillId="0" borderId="48" xfId="0" applyNumberFormat="1" applyFont="1" applyBorder="1" applyAlignment="1">
      <alignment horizontal="center"/>
    </xf>
    <xf numFmtId="16" fontId="2" fillId="0" borderId="49" xfId="0" applyNumberFormat="1" applyFont="1" applyBorder="1" applyAlignment="1">
      <alignment horizontal="center"/>
    </xf>
    <xf numFmtId="0" fontId="2" fillId="0" borderId="37" xfId="0" applyFont="1" applyBorder="1" applyAlignment="1">
      <alignment horizontal="center" vertical="center"/>
    </xf>
    <xf numFmtId="0" fontId="2" fillId="0" borderId="38" xfId="0" applyFont="1" applyBorder="1" applyAlignment="1">
      <alignment horizontal="center" vertical="center"/>
    </xf>
    <xf numFmtId="16" fontId="2" fillId="0" borderId="37" xfId="0" applyNumberFormat="1" applyFont="1" applyBorder="1" applyAlignment="1">
      <alignment horizontal="center" vertical="center"/>
    </xf>
    <xf numFmtId="16" fontId="2" fillId="0" borderId="40" xfId="0" applyNumberFormat="1" applyFont="1" applyBorder="1" applyAlignment="1">
      <alignment horizontal="center" vertical="center" wrapText="1"/>
    </xf>
    <xf numFmtId="16" fontId="2" fillId="0" borderId="41" xfId="0" applyNumberFormat="1" applyFont="1" applyBorder="1" applyAlignment="1">
      <alignment horizontal="center" vertical="center" wrapText="1"/>
    </xf>
    <xf numFmtId="16" fontId="2" fillId="0" borderId="46" xfId="0" applyNumberFormat="1" applyFont="1" applyBorder="1" applyAlignment="1">
      <alignment horizontal="center" vertical="center"/>
    </xf>
    <xf numFmtId="0" fontId="2" fillId="0" borderId="2" xfId="0" applyFont="1" applyBorder="1" applyAlignment="1">
      <alignment horizontal="center" vertical="center" wrapText="1"/>
    </xf>
    <xf numFmtId="167" fontId="2" fillId="0" borderId="2" xfId="2" applyNumberFormat="1" applyFont="1" applyBorder="1" applyAlignment="1">
      <alignment horizontal="center" vertical="center" wrapText="1"/>
    </xf>
    <xf numFmtId="167" fontId="2" fillId="0" borderId="3" xfId="2" applyNumberFormat="1" applyFont="1" applyBorder="1" applyAlignment="1">
      <alignment horizontal="center" vertical="center" wrapText="1"/>
    </xf>
    <xf numFmtId="167" fontId="2" fillId="0" borderId="4" xfId="2" applyNumberFormat="1" applyFont="1" applyBorder="1" applyAlignment="1">
      <alignment horizontal="center" vertical="center" wrapText="1"/>
    </xf>
    <xf numFmtId="167" fontId="2" fillId="0" borderId="1" xfId="2"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16" fontId="2" fillId="0" borderId="3" xfId="0" applyNumberFormat="1" applyFont="1" applyBorder="1" applyAlignment="1">
      <alignment horizontal="center" vertical="center" wrapText="1"/>
    </xf>
    <xf numFmtId="16" fontId="2" fillId="0" borderId="1" xfId="0" applyNumberFormat="1" applyFont="1" applyBorder="1" applyAlignment="1">
      <alignment horizontal="center" vertical="center" wrapText="1"/>
    </xf>
    <xf numFmtId="0" fontId="2" fillId="0" borderId="43" xfId="0" quotePrefix="1" applyFont="1" applyBorder="1" applyAlignment="1">
      <alignment horizontal="left" vertical="center" wrapText="1"/>
    </xf>
    <xf numFmtId="0" fontId="2" fillId="0" borderId="40"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0" xfId="0" quotePrefix="1" applyFont="1" applyBorder="1" applyAlignment="1">
      <alignment horizontal="center" vertical="center" wrapText="1"/>
    </xf>
    <xf numFmtId="0" fontId="2" fillId="0" borderId="39" xfId="0" quotePrefix="1" applyFont="1" applyBorder="1" applyAlignment="1">
      <alignment horizontal="center" vertical="center" wrapText="1"/>
    </xf>
    <xf numFmtId="0" fontId="2" fillId="0" borderId="43" xfId="0" quotePrefix="1" applyFont="1" applyBorder="1" applyAlignment="1">
      <alignment horizontal="left" vertical="center"/>
    </xf>
    <xf numFmtId="0" fontId="2" fillId="0" borderId="39" xfId="0" quotePrefix="1" applyFont="1" applyBorder="1" applyAlignment="1">
      <alignment horizontal="left" vertical="center"/>
    </xf>
    <xf numFmtId="0" fontId="16" fillId="0" borderId="40" xfId="0" quotePrefix="1" applyFont="1" applyBorder="1" applyAlignment="1">
      <alignment horizontal="left" vertical="center" wrapText="1"/>
    </xf>
    <xf numFmtId="0" fontId="16" fillId="0" borderId="43" xfId="0" quotePrefix="1" applyFont="1" applyBorder="1" applyAlignment="1">
      <alignment horizontal="left" vertical="center" wrapText="1"/>
    </xf>
    <xf numFmtId="0" fontId="16" fillId="0" borderId="39" xfId="0" quotePrefix="1" applyFont="1" applyBorder="1" applyAlignment="1">
      <alignment horizontal="left" vertical="center" wrapText="1"/>
    </xf>
  </cellXfs>
  <cellStyles count="4">
    <cellStyle name="Comma" xfId="1" builtinId="3"/>
    <cellStyle name="Normal" xfId="0" builtinId="0"/>
    <cellStyle name="Normal 12" xfId="2" xr:uid="{4776396B-5FB5-4164-9504-AB48DC6D002A}"/>
    <cellStyle name="Normal 2" xfId="3" xr:uid="{9CA8FC9B-28D4-43ED-B166-C9CC70F6513D}"/>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geo-my.sharepoint.com/personal/orawan_pirakaew_yageo_com/Documents/00.MD/0.Daily%20Report_Covid_Ship_Output/0.Monthly-Daily_901-Ship.xlsx" TargetMode="External"/><Relationship Id="rId1" Type="http://schemas.openxmlformats.org/officeDocument/2006/relationships/externalLinkPath" Target="https://yageo.sharepoint.com/sites/thai/TET%20Scorecard/Shared%20Documents/Yield/0.Monthly-Daily_901-Sh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T_Covid"/>
      <sheetName val="Output_Oct"/>
      <sheetName val="Ship_Oct"/>
      <sheetName val="Output_Nov"/>
      <sheetName val="Ship_Nov"/>
      <sheetName val="Output_Dec"/>
      <sheetName val="Ship_Dec"/>
      <sheetName val="Output_Jan"/>
      <sheetName val="Ship_Jan"/>
      <sheetName val="Output_Feb"/>
      <sheetName val="Ship_Feb"/>
      <sheetName val="Output_Mar"/>
      <sheetName val="Ship_Mar"/>
      <sheetName val="Output_Apr"/>
      <sheetName val="Ship_Apr"/>
      <sheetName val="Working day"/>
      <sheetName val="change shift"/>
      <sheetName val="Attendance in shutdown"/>
      <sheetName val="Output_May"/>
      <sheetName val="Ship_May"/>
      <sheetName val="Output_Jun"/>
      <sheetName val="Ship_Jun"/>
      <sheetName val="Output_Jul"/>
      <sheetName val="Ship_Jul"/>
      <sheetName val="Output_Aug"/>
      <sheetName val="Ship_Aug"/>
      <sheetName val="Output_Sep"/>
      <sheetName val="Ship_Sep"/>
      <sheetName val="Plan SC2"/>
      <sheetName val="Output_Oct'23"/>
      <sheetName val="Ship_Oct'23"/>
      <sheetName val="Output_Nov'23"/>
      <sheetName val="Ship_Nov'23"/>
      <sheetName val="Output_Dec'23"/>
      <sheetName val="A08 Plan"/>
      <sheetName val="Ship_Dec'23"/>
      <sheetName val="Output_Jan'24"/>
      <sheetName val="Ship_Jan'24"/>
      <sheetName val="Output_Feb'24"/>
      <sheetName val="Ship_Feb'24"/>
      <sheetName val="Output_Mar'24"/>
      <sheetName val="Ship_Mar'24"/>
      <sheetName val="Output_Apr'24"/>
      <sheetName val="Ship_Apr'24"/>
      <sheetName val="Output_May'24"/>
      <sheetName val="Ship_May'24"/>
      <sheetName val="Output_Jun'24"/>
      <sheetName val="Ship_Jun'24"/>
      <sheetName val="Output_Jul'24"/>
      <sheetName val="Ship_Jul'24"/>
      <sheetName val="Output_Aug'24"/>
      <sheetName val="Ship_Aug'24"/>
      <sheetName val="Output_Sep'24"/>
      <sheetName val="Ship_Sep'24"/>
      <sheetName val="Output_Oct'24"/>
      <sheetName val="Ship_Oct'24"/>
      <sheetName val="Output_Nov'24"/>
      <sheetName val="Ship_Nov'24"/>
      <sheetName val="Output_Dec'24"/>
      <sheetName val="Ship_Dec'24"/>
      <sheetName val="Output_Jan'25"/>
      <sheetName val="Ship_Jan'25"/>
      <sheetName val="Output_Feb'25"/>
      <sheetName val="Ship_Feb'25"/>
      <sheetName val="Output_Mar'25"/>
      <sheetName val="Ship_Mar'25"/>
      <sheetName val="Output_Apr'25"/>
      <sheetName val="Ship_Apr'25"/>
      <sheetName val="Output_May'25"/>
      <sheetName val="Ship_May'25"/>
      <sheetName val="Output_Jun'25"/>
      <sheetName val="Ship_Jun'25"/>
      <sheetName val="Output_Jul'25"/>
      <sheetName val="Ship_Jul'25"/>
      <sheetName val="Output_Aug'25"/>
      <sheetName val="ShipAug'25"/>
      <sheetName val="Output_Sep'25"/>
      <sheetName val="ShipSep'25"/>
      <sheetName val="Output_Oct'25"/>
      <sheetName val="Ship_Oct'25"/>
      <sheetName val="Output_Nov'25"/>
      <sheetName val="Ship_Nov'25"/>
      <sheetName val="Output_Dec'25"/>
      <sheetName val="Ship_Dec'25"/>
      <sheetName val="Cap@30WD"/>
      <sheetName val="Output_Jan'26"/>
      <sheetName val="Ship_Jan'26"/>
      <sheetName val="Output_Feb'26"/>
      <sheetName val="Ship_Feb'26"/>
      <sheetName val="Output_Mar'26"/>
      <sheetName val="Ship_Mar'26"/>
      <sheetName val="Output_Apr'26"/>
      <sheetName val="Ship_Apr'26"/>
      <sheetName val="Output_May'26"/>
      <sheetName val="Ship_May'26"/>
      <sheetName val="Output_Jun'26"/>
      <sheetName val="Ship_Jun'26"/>
      <sheetName val="Output_Jul'26"/>
      <sheetName val="Ship_Jul'26"/>
      <sheetName val="901-Ship-MTD"/>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ow r="49">
          <cell r="Q49">
            <v>3886</v>
          </cell>
        </row>
        <row r="50">
          <cell r="Q50">
            <v>16280</v>
          </cell>
        </row>
        <row r="51">
          <cell r="Q51">
            <v>24882</v>
          </cell>
        </row>
        <row r="52">
          <cell r="Q52">
            <v>7270</v>
          </cell>
        </row>
        <row r="53">
          <cell r="Q53">
            <v>640</v>
          </cell>
        </row>
        <row r="54">
          <cell r="Q54">
            <v>2032</v>
          </cell>
        </row>
        <row r="55">
          <cell r="Q55">
            <v>270</v>
          </cell>
        </row>
        <row r="56">
          <cell r="Q56">
            <v>888</v>
          </cell>
        </row>
        <row r="57">
          <cell r="Q57">
            <v>1263</v>
          </cell>
        </row>
        <row r="58">
          <cell r="Q58">
            <v>0</v>
          </cell>
        </row>
        <row r="59">
          <cell r="Q59">
            <v>2796</v>
          </cell>
        </row>
        <row r="60">
          <cell r="Q60">
            <v>4005</v>
          </cell>
        </row>
        <row r="61">
          <cell r="Q61">
            <v>0</v>
          </cell>
        </row>
        <row r="62">
          <cell r="Q62">
            <v>1140</v>
          </cell>
        </row>
        <row r="63">
          <cell r="Q63">
            <v>9</v>
          </cell>
        </row>
      </sheetData>
      <sheetData sheetId="98">
        <row r="4">
          <cell r="D4">
            <v>0</v>
          </cell>
          <cell r="E4">
            <v>3</v>
          </cell>
          <cell r="F4">
            <v>3365</v>
          </cell>
          <cell r="G4">
            <v>0</v>
          </cell>
          <cell r="H4">
            <v>0</v>
          </cell>
          <cell r="I4">
            <v>0</v>
          </cell>
          <cell r="J4">
            <v>2530</v>
          </cell>
          <cell r="K4">
            <v>3931</v>
          </cell>
          <cell r="L4">
            <v>4927</v>
          </cell>
          <cell r="M4">
            <v>8352</v>
          </cell>
          <cell r="N4">
            <v>0</v>
          </cell>
          <cell r="O4">
            <v>0</v>
          </cell>
          <cell r="P4">
            <v>0</v>
          </cell>
          <cell r="Q4">
            <v>7004</v>
          </cell>
        </row>
        <row r="5">
          <cell r="D5">
            <v>0</v>
          </cell>
          <cell r="E5">
            <v>141</v>
          </cell>
          <cell r="F5">
            <v>0</v>
          </cell>
          <cell r="G5">
            <v>0</v>
          </cell>
          <cell r="H5">
            <v>0</v>
          </cell>
          <cell r="I5">
            <v>0</v>
          </cell>
          <cell r="J5">
            <v>1275</v>
          </cell>
          <cell r="K5">
            <v>0</v>
          </cell>
          <cell r="L5">
            <v>3183</v>
          </cell>
          <cell r="M5">
            <v>2196</v>
          </cell>
          <cell r="N5">
            <v>0</v>
          </cell>
          <cell r="O5">
            <v>0</v>
          </cell>
          <cell r="P5">
            <v>0</v>
          </cell>
          <cell r="Q5">
            <v>1164</v>
          </cell>
        </row>
        <row r="6">
          <cell r="D6">
            <v>0</v>
          </cell>
          <cell r="E6">
            <v>408</v>
          </cell>
          <cell r="F6">
            <v>0</v>
          </cell>
          <cell r="G6">
            <v>0</v>
          </cell>
          <cell r="H6">
            <v>0</v>
          </cell>
          <cell r="I6">
            <v>0</v>
          </cell>
          <cell r="J6">
            <v>207</v>
          </cell>
          <cell r="K6">
            <v>0</v>
          </cell>
          <cell r="L6">
            <v>501</v>
          </cell>
          <cell r="M6">
            <v>0</v>
          </cell>
          <cell r="N6">
            <v>0</v>
          </cell>
          <cell r="O6">
            <v>0</v>
          </cell>
          <cell r="P6">
            <v>0</v>
          </cell>
          <cell r="Q6">
            <v>42</v>
          </cell>
        </row>
        <row r="9">
          <cell r="D9">
            <v>0</v>
          </cell>
          <cell r="E9">
            <v>20</v>
          </cell>
          <cell r="F9">
            <v>4186</v>
          </cell>
          <cell r="G9">
            <v>0</v>
          </cell>
          <cell r="H9">
            <v>0</v>
          </cell>
          <cell r="I9">
            <v>0</v>
          </cell>
          <cell r="J9">
            <v>7257</v>
          </cell>
          <cell r="K9">
            <v>0</v>
          </cell>
          <cell r="L9">
            <v>7269</v>
          </cell>
          <cell r="M9">
            <v>10322</v>
          </cell>
          <cell r="N9">
            <v>0</v>
          </cell>
          <cell r="O9">
            <v>0</v>
          </cell>
          <cell r="P9">
            <v>0</v>
          </cell>
          <cell r="Q9">
            <v>6881</v>
          </cell>
        </row>
        <row r="10">
          <cell r="D10">
            <v>0</v>
          </cell>
          <cell r="E10">
            <v>144</v>
          </cell>
          <cell r="F10">
            <v>0</v>
          </cell>
          <cell r="G10">
            <v>0</v>
          </cell>
          <cell r="H10">
            <v>0</v>
          </cell>
          <cell r="I10">
            <v>0</v>
          </cell>
          <cell r="J10">
            <v>1725</v>
          </cell>
          <cell r="K10">
            <v>528</v>
          </cell>
          <cell r="L10">
            <v>2619</v>
          </cell>
          <cell r="M10">
            <v>2604</v>
          </cell>
          <cell r="N10">
            <v>0</v>
          </cell>
          <cell r="O10">
            <v>0</v>
          </cell>
          <cell r="P10">
            <v>0</v>
          </cell>
          <cell r="Q10">
            <v>510</v>
          </cell>
        </row>
        <row r="11">
          <cell r="D11">
            <v>0</v>
          </cell>
          <cell r="E11">
            <v>414</v>
          </cell>
          <cell r="F11">
            <v>0</v>
          </cell>
          <cell r="G11">
            <v>0</v>
          </cell>
          <cell r="H11">
            <v>0</v>
          </cell>
          <cell r="I11">
            <v>0</v>
          </cell>
          <cell r="J11">
            <v>201</v>
          </cell>
          <cell r="K11">
            <v>0</v>
          </cell>
          <cell r="L11">
            <v>597</v>
          </cell>
          <cell r="N11">
            <v>0</v>
          </cell>
          <cell r="O11">
            <v>0</v>
          </cell>
          <cell r="P11">
            <v>0</v>
          </cell>
          <cell r="Q11">
            <v>54</v>
          </cell>
        </row>
        <row r="16">
          <cell r="D16">
            <v>0</v>
          </cell>
          <cell r="E16">
            <v>0</v>
          </cell>
          <cell r="F16">
            <v>50</v>
          </cell>
          <cell r="G16">
            <v>0</v>
          </cell>
          <cell r="H16">
            <v>0</v>
          </cell>
          <cell r="I16">
            <v>0</v>
          </cell>
          <cell r="J16">
            <v>18.079999999999998</v>
          </cell>
          <cell r="K16">
            <v>34.58</v>
          </cell>
          <cell r="L16">
            <v>48.31</v>
          </cell>
          <cell r="M16">
            <v>54</v>
          </cell>
          <cell r="N16">
            <v>0</v>
          </cell>
          <cell r="O16">
            <v>0</v>
          </cell>
          <cell r="P16">
            <v>0</v>
          </cell>
          <cell r="Q16">
            <v>132.29</v>
          </cell>
        </row>
        <row r="17">
          <cell r="D17">
            <v>0</v>
          </cell>
          <cell r="E17">
            <v>0</v>
          </cell>
          <cell r="F17">
            <v>0</v>
          </cell>
          <cell r="G17">
            <v>0</v>
          </cell>
          <cell r="H17">
            <v>0</v>
          </cell>
          <cell r="I17">
            <v>0</v>
          </cell>
          <cell r="J17">
            <v>62.05</v>
          </cell>
          <cell r="K17">
            <v>60.5</v>
          </cell>
          <cell r="L17">
            <v>98.5</v>
          </cell>
          <cell r="M17">
            <v>5</v>
          </cell>
          <cell r="N17">
            <v>0</v>
          </cell>
          <cell r="O17">
            <v>0</v>
          </cell>
          <cell r="P17">
            <v>0</v>
          </cell>
          <cell r="Q17">
            <v>30.1</v>
          </cell>
        </row>
        <row r="18">
          <cell r="D18">
            <v>0</v>
          </cell>
          <cell r="E18">
            <v>0</v>
          </cell>
          <cell r="F18">
            <v>0</v>
          </cell>
          <cell r="G18">
            <v>0</v>
          </cell>
          <cell r="H18">
            <v>0</v>
          </cell>
          <cell r="I18">
            <v>0</v>
          </cell>
          <cell r="J18">
            <v>142.4</v>
          </cell>
          <cell r="K18">
            <v>14.4</v>
          </cell>
          <cell r="L18">
            <v>67.599999999999994</v>
          </cell>
          <cell r="M18">
            <v>40</v>
          </cell>
          <cell r="N18">
            <v>0</v>
          </cell>
          <cell r="O18">
            <v>0</v>
          </cell>
          <cell r="P18">
            <v>0</v>
          </cell>
          <cell r="Q18">
            <v>406.6</v>
          </cell>
        </row>
        <row r="21">
          <cell r="C21">
            <v>470.66</v>
          </cell>
        </row>
        <row r="22">
          <cell r="C22">
            <v>531.79999999999995</v>
          </cell>
        </row>
        <row r="23">
          <cell r="C23">
            <v>1006</v>
          </cell>
        </row>
      </sheetData>
      <sheetData sheetId="99" refreshError="1"/>
      <sheetData sheetId="10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958B1-EDAC-4FF2-9743-E3A2EC1FEA80}">
  <dimension ref="A1:K40"/>
  <sheetViews>
    <sheetView showGridLines="0" workbookViewId="0">
      <pane xSplit="3" ySplit="3" topLeftCell="D10" activePane="bottomRight" state="frozen"/>
      <selection pane="topRight" activeCell="D1" sqref="D1"/>
      <selection pane="bottomLeft" activeCell="A4" sqref="A4"/>
      <selection pane="bottomRight" activeCell="K18" sqref="K18"/>
    </sheetView>
  </sheetViews>
  <sheetFormatPr defaultColWidth="8.54296875" defaultRowHeight="11.5" x14ac:dyDescent="0.25"/>
  <cols>
    <col min="1" max="1" width="8.54296875" style="1"/>
    <col min="2" max="2" width="11.453125" style="1" customWidth="1"/>
    <col min="3" max="3" width="9.54296875" style="1" bestFit="1" customWidth="1"/>
    <col min="4" max="4" width="10.453125" style="1" bestFit="1" customWidth="1"/>
    <col min="5" max="5" width="10.453125" style="1" customWidth="1"/>
    <col min="6" max="7" width="9.453125" style="1" bestFit="1" customWidth="1"/>
    <col min="8" max="8" width="8.54296875" style="1"/>
    <col min="9" max="9" width="14.453125" style="1" bestFit="1" customWidth="1"/>
    <col min="10" max="10" width="9.453125" style="1" bestFit="1" customWidth="1"/>
    <col min="11" max="11" width="12.54296875" style="1" bestFit="1" customWidth="1"/>
    <col min="12" max="16384" width="8.54296875" style="1"/>
  </cols>
  <sheetData>
    <row r="1" spans="1:11" x14ac:dyDescent="0.25">
      <c r="D1" s="3" t="s">
        <v>0</v>
      </c>
      <c r="E1" s="7">
        <v>46204</v>
      </c>
    </row>
    <row r="2" spans="1:11" x14ac:dyDescent="0.25">
      <c r="B2" s="69" t="s">
        <v>1</v>
      </c>
      <c r="C2" s="69"/>
      <c r="D2" s="3" t="s">
        <v>2</v>
      </c>
      <c r="E2" s="7">
        <f ca="1">TODAY()</f>
        <v>46258</v>
      </c>
      <c r="F2" s="8">
        <f ca="1">DAY(E2-E1)</f>
        <v>23</v>
      </c>
    </row>
    <row r="3" spans="1:11" x14ac:dyDescent="0.25">
      <c r="A3" s="46"/>
      <c r="B3" s="65" t="s">
        <v>3</v>
      </c>
      <c r="C3" s="65" t="s">
        <v>4</v>
      </c>
      <c r="D3" s="66" t="s">
        <v>5</v>
      </c>
      <c r="E3" s="66" t="s">
        <v>6</v>
      </c>
      <c r="F3" s="66" t="s">
        <v>7</v>
      </c>
      <c r="G3" s="66" t="s">
        <v>8</v>
      </c>
      <c r="H3" s="66" t="s">
        <v>9</v>
      </c>
      <c r="I3" s="66" t="s">
        <v>10</v>
      </c>
    </row>
    <row r="4" spans="1:11" x14ac:dyDescent="0.25">
      <c r="A4" s="4" t="s">
        <v>11</v>
      </c>
      <c r="B4" s="64" t="s">
        <v>12</v>
      </c>
      <c r="C4" s="64" t="s">
        <v>13</v>
      </c>
      <c r="D4" s="47">
        <v>28964</v>
      </c>
      <c r="E4" s="47">
        <v>965.4666666666667</v>
      </c>
      <c r="F4" s="48">
        <v>9654.6666666666679</v>
      </c>
      <c r="G4" s="47">
        <v>12733</v>
      </c>
      <c r="H4" s="48">
        <f t="shared" ref="H4:H10" si="0">G4-F4</f>
        <v>3078.3333333333321</v>
      </c>
      <c r="I4" s="49">
        <f t="shared" ref="I4:I17" si="1">G4/F4</f>
        <v>1.3188440823090732</v>
      </c>
    </row>
    <row r="5" spans="1:11" x14ac:dyDescent="0.25">
      <c r="A5" s="5"/>
      <c r="B5" s="54" t="s">
        <v>14</v>
      </c>
      <c r="C5" s="64" t="s">
        <v>13</v>
      </c>
      <c r="D5" s="47">
        <v>176522.52110632131</v>
      </c>
      <c r="E5" s="47">
        <v>5884.084036877377</v>
      </c>
      <c r="F5" s="48">
        <v>58840.840368773774</v>
      </c>
      <c r="G5" s="47">
        <v>74100.899999999994</v>
      </c>
      <c r="H5" s="48">
        <f t="shared" si="0"/>
        <v>15260.059631226221</v>
      </c>
      <c r="I5" s="49">
        <f t="shared" si="1"/>
        <v>1.2593446921489684</v>
      </c>
    </row>
    <row r="6" spans="1:11" x14ac:dyDescent="0.25">
      <c r="A6" s="5"/>
      <c r="B6" s="4" t="s">
        <v>15</v>
      </c>
      <c r="C6" s="9" t="s">
        <v>16</v>
      </c>
      <c r="D6" s="10">
        <v>9552.2866597280354</v>
      </c>
      <c r="E6" s="10">
        <v>318.40955532426784</v>
      </c>
      <c r="F6" s="11">
        <v>3184.0955532426783</v>
      </c>
      <c r="G6" s="10">
        <v>3828.4009999999998</v>
      </c>
      <c r="H6" s="11">
        <f t="shared" si="0"/>
        <v>644.30544675732153</v>
      </c>
      <c r="I6" s="12">
        <f t="shared" si="1"/>
        <v>1.2023511656555539</v>
      </c>
    </row>
    <row r="7" spans="1:11" x14ac:dyDescent="0.25">
      <c r="A7" s="5"/>
      <c r="B7" s="5"/>
      <c r="C7" s="9" t="s">
        <v>17</v>
      </c>
      <c r="D7" s="10">
        <v>132957.05537818465</v>
      </c>
      <c r="E7" s="10">
        <v>4431.9018459394883</v>
      </c>
      <c r="F7" s="11">
        <v>44319.01845939488</v>
      </c>
      <c r="G7" s="10">
        <v>54800.262999999999</v>
      </c>
      <c r="H7" s="11">
        <f t="shared" si="0"/>
        <v>10481.244540605119</v>
      </c>
      <c r="I7" s="12">
        <f t="shared" si="1"/>
        <v>1.2364954122395118</v>
      </c>
    </row>
    <row r="8" spans="1:11" x14ac:dyDescent="0.25">
      <c r="A8" s="5"/>
      <c r="B8" s="5"/>
      <c r="C8" s="9" t="s">
        <v>18</v>
      </c>
      <c r="D8" s="10">
        <v>18639.959421244464</v>
      </c>
      <c r="E8" s="10">
        <v>621.33198070814876</v>
      </c>
      <c r="F8" s="11">
        <v>6213.3198070814879</v>
      </c>
      <c r="G8" s="10">
        <v>9114.1929999999993</v>
      </c>
      <c r="H8" s="11">
        <f t="shared" si="0"/>
        <v>2900.8731929185114</v>
      </c>
      <c r="I8" s="12">
        <f t="shared" si="1"/>
        <v>1.4668797491499324</v>
      </c>
    </row>
    <row r="9" spans="1:11" x14ac:dyDescent="0.25">
      <c r="A9" s="5"/>
      <c r="B9" s="5"/>
      <c r="C9" s="9" t="s">
        <v>19</v>
      </c>
      <c r="D9" s="10">
        <v>10361.348494361555</v>
      </c>
      <c r="E9" s="10">
        <v>345.37828314538518</v>
      </c>
      <c r="F9" s="11">
        <v>3453.7828314538519</v>
      </c>
      <c r="G9" s="10">
        <v>4438.2719999999999</v>
      </c>
      <c r="H9" s="11">
        <f t="shared" si="0"/>
        <v>984.48916854614799</v>
      </c>
      <c r="I9" s="12">
        <f t="shared" si="1"/>
        <v>1.2850466333842225</v>
      </c>
    </row>
    <row r="10" spans="1:11" x14ac:dyDescent="0.25">
      <c r="A10" s="5"/>
      <c r="B10" s="5"/>
      <c r="C10" s="9" t="s">
        <v>20</v>
      </c>
      <c r="D10" s="10">
        <v>3963.1936764095826</v>
      </c>
      <c r="E10" s="10">
        <v>132.10645588031943</v>
      </c>
      <c r="F10" s="11">
        <v>1321.0645588031944</v>
      </c>
      <c r="G10" s="10">
        <v>1726.75</v>
      </c>
      <c r="H10" s="11">
        <f t="shared" si="0"/>
        <v>405.68544119680564</v>
      </c>
      <c r="I10" s="12">
        <f t="shared" si="1"/>
        <v>1.3070897924658069</v>
      </c>
    </row>
    <row r="11" spans="1:11" x14ac:dyDescent="0.25">
      <c r="A11" s="5"/>
      <c r="B11" s="6"/>
      <c r="C11" s="64" t="s">
        <v>21</v>
      </c>
      <c r="D11" s="47">
        <v>175473.84362992828</v>
      </c>
      <c r="E11" s="47">
        <v>5849.1281209976096</v>
      </c>
      <c r="F11" s="47">
        <v>58491.281209976092</v>
      </c>
      <c r="G11" s="47">
        <v>73907.878999999986</v>
      </c>
      <c r="H11" s="47">
        <f t="shared" ref="H11" si="2">SUM(H6:H10)</f>
        <v>15416.597790023905</v>
      </c>
      <c r="I11" s="49">
        <f t="shared" si="1"/>
        <v>1.263570868531334</v>
      </c>
    </row>
    <row r="12" spans="1:11" x14ac:dyDescent="0.25">
      <c r="A12" s="5"/>
      <c r="B12" s="4" t="s">
        <v>22</v>
      </c>
      <c r="C12" s="9" t="s">
        <v>16</v>
      </c>
      <c r="D12" s="10">
        <v>8599.9999999999982</v>
      </c>
      <c r="E12" s="10">
        <v>286.66666666666663</v>
      </c>
      <c r="F12" s="11">
        <v>2866.6666666666661</v>
      </c>
      <c r="G12" s="10">
        <v>3818</v>
      </c>
      <c r="H12" s="11">
        <f t="shared" ref="H12:H16" si="3">G12-F12</f>
        <v>951.33333333333394</v>
      </c>
      <c r="I12" s="12">
        <f t="shared" si="1"/>
        <v>1.3318604651162793</v>
      </c>
    </row>
    <row r="13" spans="1:11" x14ac:dyDescent="0.25">
      <c r="A13" s="5"/>
      <c r="B13" s="5"/>
      <c r="C13" s="9" t="s">
        <v>17</v>
      </c>
      <c r="D13" s="10">
        <v>120794.94949494948</v>
      </c>
      <c r="E13" s="10">
        <v>4026.4983164983159</v>
      </c>
      <c r="F13" s="11">
        <v>40264.983164983161</v>
      </c>
      <c r="G13" s="10">
        <v>51107</v>
      </c>
      <c r="H13" s="11">
        <f t="shared" si="3"/>
        <v>10842.016835016839</v>
      </c>
      <c r="I13" s="12">
        <f t="shared" si="1"/>
        <v>1.2692666426952763</v>
      </c>
      <c r="K13" s="2"/>
    </row>
    <row r="14" spans="1:11" x14ac:dyDescent="0.25">
      <c r="A14" s="5"/>
      <c r="B14" s="5"/>
      <c r="C14" s="9" t="s">
        <v>18</v>
      </c>
      <c r="D14" s="10">
        <v>15199.999999999995</v>
      </c>
      <c r="E14" s="10">
        <v>506.66666666666646</v>
      </c>
      <c r="F14" s="11">
        <v>5066.6666666666642</v>
      </c>
      <c r="G14" s="10">
        <v>5775</v>
      </c>
      <c r="H14" s="11">
        <f t="shared" si="3"/>
        <v>708.33333333333576</v>
      </c>
      <c r="I14" s="12">
        <f t="shared" si="1"/>
        <v>1.139802631578948</v>
      </c>
      <c r="K14" s="2"/>
    </row>
    <row r="15" spans="1:11" x14ac:dyDescent="0.25">
      <c r="A15" s="5"/>
      <c r="B15" s="5"/>
      <c r="C15" s="9" t="s">
        <v>19</v>
      </c>
      <c r="D15" s="10">
        <v>8900.0000000000018</v>
      </c>
      <c r="E15" s="10">
        <v>296.66666666666674</v>
      </c>
      <c r="F15" s="11">
        <v>2966.6666666666674</v>
      </c>
      <c r="G15" s="10">
        <v>4224</v>
      </c>
      <c r="H15" s="11">
        <f t="shared" si="3"/>
        <v>1257.3333333333326</v>
      </c>
      <c r="I15" s="12">
        <f t="shared" si="1"/>
        <v>1.4238202247191007</v>
      </c>
      <c r="K15" s="2"/>
    </row>
    <row r="16" spans="1:11" x14ac:dyDescent="0.25">
      <c r="A16" s="5"/>
      <c r="B16" s="5"/>
      <c r="C16" s="9" t="s">
        <v>20</v>
      </c>
      <c r="D16" s="10">
        <v>3200</v>
      </c>
      <c r="E16" s="10">
        <v>106.66666666666667</v>
      </c>
      <c r="F16" s="11">
        <v>1066.6666666666667</v>
      </c>
      <c r="G16" s="10">
        <v>1323</v>
      </c>
      <c r="H16" s="11">
        <f t="shared" si="3"/>
        <v>256.33333333333326</v>
      </c>
      <c r="I16" s="12">
        <f t="shared" si="1"/>
        <v>1.2403124999999999</v>
      </c>
      <c r="K16" s="2"/>
    </row>
    <row r="17" spans="1:11" x14ac:dyDescent="0.25">
      <c r="A17" s="5"/>
      <c r="B17" s="6"/>
      <c r="C17" s="64" t="s">
        <v>21</v>
      </c>
      <c r="D17" s="47">
        <v>156694.94949494948</v>
      </c>
      <c r="E17" s="47">
        <v>5223.1649831649829</v>
      </c>
      <c r="F17" s="47">
        <v>52231.649831649833</v>
      </c>
      <c r="G17" s="47">
        <v>66247</v>
      </c>
      <c r="H17" s="47">
        <f t="shared" ref="H17" si="4">SUM(H12:H16)</f>
        <v>14015.350168350174</v>
      </c>
      <c r="I17" s="49">
        <f t="shared" si="1"/>
        <v>1.2683306044041049</v>
      </c>
      <c r="K17" s="2"/>
    </row>
    <row r="18" spans="1:11" x14ac:dyDescent="0.25">
      <c r="A18" s="5"/>
      <c r="B18" s="5" t="s">
        <v>23</v>
      </c>
      <c r="C18" s="9" t="s">
        <v>16</v>
      </c>
      <c r="D18" s="10">
        <v>8600</v>
      </c>
      <c r="E18" s="10">
        <f>D18/30</f>
        <v>286.66666666666669</v>
      </c>
      <c r="F18" s="11">
        <f ca="1">E18*$F$2</f>
        <v>6593.3333333333339</v>
      </c>
      <c r="G18" s="10">
        <f>SUM('[1]Output_Jul''26'!$Q$49)</f>
        <v>3886</v>
      </c>
      <c r="H18" s="11">
        <f ca="1">G18-F18</f>
        <v>-2707.3333333333339</v>
      </c>
      <c r="I18" s="12">
        <f ca="1">G18/F18</f>
        <v>0.58938321536905958</v>
      </c>
      <c r="K18" s="2"/>
    </row>
    <row r="19" spans="1:11" x14ac:dyDescent="0.25">
      <c r="A19" s="5"/>
      <c r="B19" s="5"/>
      <c r="C19" s="9" t="s">
        <v>17</v>
      </c>
      <c r="D19" s="10">
        <v>120000</v>
      </c>
      <c r="E19" s="10">
        <f t="shared" ref="E19:E22" si="5">D19/30</f>
        <v>4000</v>
      </c>
      <c r="F19" s="11">
        <f t="shared" ref="F19:F22" ca="1" si="6">E19*$F$2</f>
        <v>92000</v>
      </c>
      <c r="G19" s="10">
        <f>SUM('[1]Output_Jul''26'!$Q$50:$Q$55)</f>
        <v>51374</v>
      </c>
      <c r="H19" s="11">
        <f t="shared" ref="H19:H23" ca="1" si="7">G19-F19</f>
        <v>-40626</v>
      </c>
      <c r="I19" s="12">
        <f t="shared" ref="I19:I23" ca="1" si="8">G19/F19</f>
        <v>0.55841304347826082</v>
      </c>
    </row>
    <row r="20" spans="1:11" x14ac:dyDescent="0.25">
      <c r="A20" s="5"/>
      <c r="B20" s="5"/>
      <c r="C20" s="9" t="s">
        <v>18</v>
      </c>
      <c r="D20" s="10">
        <v>15200</v>
      </c>
      <c r="E20" s="10">
        <f t="shared" si="5"/>
        <v>506.66666666666669</v>
      </c>
      <c r="F20" s="11">
        <f t="shared" ca="1" si="6"/>
        <v>11653.333333333334</v>
      </c>
      <c r="G20" s="10">
        <f>SUM('[1]Output_Jul''26'!$Q$56:$Q$59,'[1]Output_Jul''26'!$Q$63)</f>
        <v>4956</v>
      </c>
      <c r="H20" s="11">
        <f t="shared" ca="1" si="7"/>
        <v>-6697.3333333333339</v>
      </c>
      <c r="I20" s="12">
        <f t="shared" ca="1" si="8"/>
        <v>0.42528604118993135</v>
      </c>
    </row>
    <row r="21" spans="1:11" x14ac:dyDescent="0.25">
      <c r="A21" s="5"/>
      <c r="B21" s="5"/>
      <c r="C21" s="9" t="s">
        <v>19</v>
      </c>
      <c r="D21" s="10">
        <v>8900</v>
      </c>
      <c r="E21" s="10">
        <f t="shared" si="5"/>
        <v>296.66666666666669</v>
      </c>
      <c r="F21" s="11">
        <f t="shared" ca="1" si="6"/>
        <v>6823.3333333333339</v>
      </c>
      <c r="G21" s="10">
        <f>SUM('[1]Output_Jul''26'!$Q$60:$Q$61)</f>
        <v>4005</v>
      </c>
      <c r="H21" s="11">
        <f t="shared" ca="1" si="7"/>
        <v>-2818.3333333333339</v>
      </c>
      <c r="I21" s="12">
        <f t="shared" ca="1" si="8"/>
        <v>0.58695652173913038</v>
      </c>
    </row>
    <row r="22" spans="1:11" x14ac:dyDescent="0.25">
      <c r="A22" s="5"/>
      <c r="B22" s="5"/>
      <c r="C22" s="9" t="s">
        <v>20</v>
      </c>
      <c r="D22" s="10">
        <v>3200</v>
      </c>
      <c r="E22" s="10">
        <f t="shared" si="5"/>
        <v>106.66666666666667</v>
      </c>
      <c r="F22" s="11">
        <f t="shared" ca="1" si="6"/>
        <v>2453.3333333333335</v>
      </c>
      <c r="G22" s="10">
        <f>'[1]Output_Jul''26'!$Q$62</f>
        <v>1140</v>
      </c>
      <c r="H22" s="11">
        <f t="shared" ca="1" si="7"/>
        <v>-1313.3333333333335</v>
      </c>
      <c r="I22" s="12">
        <f t="shared" ca="1" si="8"/>
        <v>0.46467391304347822</v>
      </c>
    </row>
    <row r="23" spans="1:11" x14ac:dyDescent="0.25">
      <c r="A23" s="6"/>
      <c r="B23" s="5"/>
      <c r="C23" s="54" t="s">
        <v>21</v>
      </c>
      <c r="D23" s="47">
        <f>SUM(D18:D22)</f>
        <v>155900</v>
      </c>
      <c r="E23" s="48">
        <f>SUM(E18:E22)</f>
        <v>5196.6666666666679</v>
      </c>
      <c r="F23" s="48">
        <f ca="1">SUM(F18:F22)</f>
        <v>119523.33333333331</v>
      </c>
      <c r="G23" s="47">
        <f>SUM(G18:G22)</f>
        <v>65361</v>
      </c>
      <c r="H23" s="48">
        <f t="shared" ca="1" si="7"/>
        <v>-54162.333333333314</v>
      </c>
      <c r="I23" s="49">
        <f t="shared" ca="1" si="8"/>
        <v>0.54684719859441677</v>
      </c>
      <c r="J23" s="62"/>
    </row>
    <row r="24" spans="1:11" x14ac:dyDescent="0.25">
      <c r="A24" s="50" t="s">
        <v>24</v>
      </c>
      <c r="B24" s="55" t="s">
        <v>25</v>
      </c>
      <c r="C24" s="35"/>
      <c r="D24" s="52">
        <v>800</v>
      </c>
      <c r="E24" s="61">
        <f>D24/30</f>
        <v>26.666666666666668</v>
      </c>
      <c r="F24" s="11">
        <f t="shared" ref="F24:F27" ca="1" si="9">E24*$F$2</f>
        <v>613.33333333333337</v>
      </c>
      <c r="G24" s="10">
        <v>437.25800000000004</v>
      </c>
      <c r="H24" s="11">
        <f ca="1">G24-F24</f>
        <v>-176.07533333333333</v>
      </c>
      <c r="I24" s="12">
        <f ca="1">G24/F24</f>
        <v>0.71292065217391309</v>
      </c>
    </row>
    <row r="25" spans="1:11" x14ac:dyDescent="0.25">
      <c r="A25" s="51"/>
      <c r="B25" s="55" t="s">
        <v>26</v>
      </c>
      <c r="C25" s="35"/>
      <c r="D25" s="52">
        <v>1550.0003480000005</v>
      </c>
      <c r="E25" s="61">
        <f t="shared" ref="E25:E27" si="10">D25/30</f>
        <v>51.666678266666686</v>
      </c>
      <c r="F25" s="11">
        <f t="shared" ca="1" si="9"/>
        <v>1188.3336001333337</v>
      </c>
      <c r="G25" s="10">
        <v>838</v>
      </c>
      <c r="H25" s="11">
        <f t="shared" ref="H25:H27" ca="1" si="11">G25-F25</f>
        <v>-350.33360013333368</v>
      </c>
      <c r="I25" s="12">
        <f t="shared" ref="I25:I27" ca="1" si="12">G25/F25</f>
        <v>0.70518918248711859</v>
      </c>
    </row>
    <row r="26" spans="1:11" x14ac:dyDescent="0.25">
      <c r="A26" s="51"/>
      <c r="B26" s="55" t="s">
        <v>27</v>
      </c>
      <c r="C26" s="35"/>
      <c r="D26" s="52">
        <v>1200</v>
      </c>
      <c r="E26" s="61">
        <f t="shared" si="10"/>
        <v>40</v>
      </c>
      <c r="F26" s="11">
        <f t="shared" ca="1" si="9"/>
        <v>920</v>
      </c>
      <c r="G26" s="10">
        <v>792.2</v>
      </c>
      <c r="H26" s="11">
        <f t="shared" ca="1" si="11"/>
        <v>-127.79999999999995</v>
      </c>
      <c r="I26" s="12">
        <f t="shared" ca="1" si="12"/>
        <v>0.86108695652173917</v>
      </c>
    </row>
    <row r="27" spans="1:11" x14ac:dyDescent="0.25">
      <c r="A27" s="44"/>
      <c r="B27" s="55" t="s">
        <v>28</v>
      </c>
      <c r="C27" s="35"/>
      <c r="D27" s="53">
        <f>SUM(D24:D26)</f>
        <v>3550.0003480000005</v>
      </c>
      <c r="E27" s="61">
        <f t="shared" si="10"/>
        <v>118.33334493333335</v>
      </c>
      <c r="F27" s="11">
        <f t="shared" ca="1" si="9"/>
        <v>2721.6669334666672</v>
      </c>
      <c r="G27" s="11">
        <f>SUM(G24:G26)</f>
        <v>2067.4580000000001</v>
      </c>
      <c r="H27" s="11">
        <f t="shared" ca="1" si="11"/>
        <v>-654.20893346666708</v>
      </c>
      <c r="I27" s="12">
        <f t="shared" ca="1" si="12"/>
        <v>0.75962931928875588</v>
      </c>
    </row>
    <row r="28" spans="1:11" x14ac:dyDescent="0.25">
      <c r="I28" s="13"/>
    </row>
    <row r="29" spans="1:11" x14ac:dyDescent="0.25">
      <c r="I29" s="13"/>
    </row>
    <row r="30" spans="1:11" x14ac:dyDescent="0.25">
      <c r="I30" s="13"/>
    </row>
    <row r="31" spans="1:11" x14ac:dyDescent="0.25">
      <c r="B31" s="69" t="s">
        <v>29</v>
      </c>
      <c r="C31" s="69"/>
      <c r="I31" s="13"/>
    </row>
    <row r="32" spans="1:11" x14ac:dyDescent="0.25">
      <c r="A32" s="71"/>
      <c r="B32" s="71"/>
      <c r="C32" s="65" t="s">
        <v>4</v>
      </c>
      <c r="D32" s="66" t="s">
        <v>5</v>
      </c>
      <c r="E32" s="66" t="s">
        <v>6</v>
      </c>
      <c r="F32" s="66" t="s">
        <v>7</v>
      </c>
      <c r="G32" s="66" t="s">
        <v>8</v>
      </c>
      <c r="H32" s="66" t="s">
        <v>9</v>
      </c>
      <c r="I32" s="66" t="s">
        <v>10</v>
      </c>
    </row>
    <row r="33" spans="1:9" x14ac:dyDescent="0.25">
      <c r="A33" s="50" t="s">
        <v>11</v>
      </c>
      <c r="B33" s="72"/>
      <c r="C33" s="35" t="s">
        <v>30</v>
      </c>
      <c r="D33" s="10">
        <v>113208</v>
      </c>
      <c r="E33" s="46"/>
      <c r="F33" s="10">
        <f>SUM('[1]Ship_Jul''26'!$D$4:$Q$4)</f>
        <v>30112</v>
      </c>
      <c r="G33" s="10">
        <f>SUM('[1]Ship_Jul''26'!$D$9:$Q$9)</f>
        <v>35935</v>
      </c>
      <c r="H33" s="11">
        <f>G33-F33</f>
        <v>5823</v>
      </c>
      <c r="I33" s="12">
        <f t="shared" ref="I33:I40" si="13">G33/F33</f>
        <v>1.1933780552603612</v>
      </c>
    </row>
    <row r="34" spans="1:9" x14ac:dyDescent="0.25">
      <c r="A34" s="51"/>
      <c r="B34" s="73"/>
      <c r="C34" s="35" t="s">
        <v>31</v>
      </c>
      <c r="D34" s="10">
        <v>18057</v>
      </c>
      <c r="E34" s="46"/>
      <c r="F34" s="10">
        <f>SUM('[1]Ship_Jul''26'!$D$5:$Q$5)</f>
        <v>7959</v>
      </c>
      <c r="G34" s="10">
        <f>SUM('[1]Ship_Jul''26'!$D$10:$Q$10)</f>
        <v>8130</v>
      </c>
      <c r="H34" s="11">
        <f t="shared" ref="H34:H40" si="14">G34-F34</f>
        <v>171</v>
      </c>
      <c r="I34" s="12">
        <f t="shared" si="13"/>
        <v>1.0214851111948737</v>
      </c>
    </row>
    <row r="35" spans="1:9" x14ac:dyDescent="0.25">
      <c r="A35" s="51"/>
      <c r="B35" s="73"/>
      <c r="C35" s="35" t="s">
        <v>32</v>
      </c>
      <c r="D35" s="10">
        <v>3138</v>
      </c>
      <c r="E35" s="46"/>
      <c r="F35" s="10">
        <f>SUM('[1]Ship_Jul''26'!$D$6:$Q$6)</f>
        <v>1158</v>
      </c>
      <c r="G35" s="10">
        <f>SUM('[1]Ship_Jul''26'!$D$11:$Q$11)</f>
        <v>1266</v>
      </c>
      <c r="H35" s="11">
        <f t="shared" si="14"/>
        <v>108</v>
      </c>
      <c r="I35" s="12">
        <f t="shared" si="13"/>
        <v>1.0932642487046633</v>
      </c>
    </row>
    <row r="36" spans="1:9" x14ac:dyDescent="0.25">
      <c r="A36" s="44"/>
      <c r="B36" s="45"/>
      <c r="C36" s="70" t="s">
        <v>33</v>
      </c>
      <c r="D36" s="48">
        <f>SUM(D33:D35)</f>
        <v>134403</v>
      </c>
      <c r="E36" s="46"/>
      <c r="F36" s="48">
        <f>SUM(F33:F35)</f>
        <v>39229</v>
      </c>
      <c r="G36" s="48">
        <f>SUM(G33:G35)</f>
        <v>45331</v>
      </c>
      <c r="H36" s="48">
        <f t="shared" si="14"/>
        <v>6102</v>
      </c>
      <c r="I36" s="49">
        <f t="shared" si="13"/>
        <v>1.1555481913890233</v>
      </c>
    </row>
    <row r="37" spans="1:9" x14ac:dyDescent="0.25">
      <c r="A37" s="50" t="s">
        <v>24</v>
      </c>
      <c r="B37" s="72"/>
      <c r="C37" s="55" t="s">
        <v>25</v>
      </c>
      <c r="D37" s="10">
        <v>797.63</v>
      </c>
      <c r="E37" s="46"/>
      <c r="F37" s="10">
        <f>SUM('[1]Ship_Jul''26'!$D$16:$Q$16)</f>
        <v>337.26</v>
      </c>
      <c r="G37" s="10">
        <f>'[1]Ship_Jul''26'!$C$21</f>
        <v>470.66</v>
      </c>
      <c r="H37" s="11">
        <f t="shared" si="14"/>
        <v>133.40000000000003</v>
      </c>
      <c r="I37" s="12">
        <f t="shared" si="13"/>
        <v>1.395540532526834</v>
      </c>
    </row>
    <row r="38" spans="1:9" x14ac:dyDescent="0.25">
      <c r="A38" s="51"/>
      <c r="B38" s="73"/>
      <c r="C38" s="55" t="s">
        <v>26</v>
      </c>
      <c r="D38" s="10">
        <v>1552.4</v>
      </c>
      <c r="E38" s="46"/>
      <c r="F38" s="10">
        <f>SUM('[1]Ship_Jul''26'!$D$17:$Q$17)</f>
        <v>256.15000000000003</v>
      </c>
      <c r="G38" s="10">
        <f>'[1]Ship_Jul''26'!$C$22</f>
        <v>531.79999999999995</v>
      </c>
      <c r="H38" s="11">
        <f t="shared" si="14"/>
        <v>275.64999999999992</v>
      </c>
      <c r="I38" s="12">
        <f t="shared" si="13"/>
        <v>2.0761272691782153</v>
      </c>
    </row>
    <row r="39" spans="1:9" x14ac:dyDescent="0.25">
      <c r="A39" s="51"/>
      <c r="B39" s="73"/>
      <c r="C39" s="55" t="s">
        <v>27</v>
      </c>
      <c r="D39" s="10">
        <v>1185.3</v>
      </c>
      <c r="E39" s="46"/>
      <c r="F39" s="10">
        <f>SUM('[1]Ship_Jul''26'!$D$18:$Q$18)</f>
        <v>671</v>
      </c>
      <c r="G39" s="10">
        <f>'[1]Ship_Jul''26'!$C$23</f>
        <v>1006</v>
      </c>
      <c r="H39" s="11">
        <f t="shared" si="14"/>
        <v>335</v>
      </c>
      <c r="I39" s="12">
        <f t="shared" si="13"/>
        <v>1.4992548435171387</v>
      </c>
    </row>
    <row r="40" spans="1:9" x14ac:dyDescent="0.25">
      <c r="A40" s="44"/>
      <c r="B40" s="45"/>
      <c r="C40" s="70" t="s">
        <v>33</v>
      </c>
      <c r="D40" s="48">
        <f>SUM(D37:D39)</f>
        <v>3535.33</v>
      </c>
      <c r="E40" s="46"/>
      <c r="F40" s="48">
        <f>SUM(F37:F39)</f>
        <v>1264.4100000000001</v>
      </c>
      <c r="G40" s="48">
        <f>SUM(G37:G39)</f>
        <v>2008.46</v>
      </c>
      <c r="H40" s="48">
        <f t="shared" si="14"/>
        <v>744.05</v>
      </c>
      <c r="I40" s="49">
        <f t="shared" si="13"/>
        <v>1.588456276049699</v>
      </c>
    </row>
  </sheetData>
  <conditionalFormatting sqref="I4:I11">
    <cfRule type="iconSet" priority="3">
      <iconSet>
        <cfvo type="percent" val="0"/>
        <cfvo type="num" val="0.8"/>
        <cfvo type="num" val="0.98"/>
      </iconSet>
    </cfRule>
  </conditionalFormatting>
  <conditionalFormatting sqref="I12:I17">
    <cfRule type="iconSet" priority="2">
      <iconSet>
        <cfvo type="percent" val="0"/>
        <cfvo type="num" val="0.8"/>
        <cfvo type="num" val="0.98"/>
      </iconSet>
    </cfRule>
  </conditionalFormatting>
  <conditionalFormatting sqref="I18:I23">
    <cfRule type="iconSet" priority="5">
      <iconSet>
        <cfvo type="percent" val="0"/>
        <cfvo type="num" val="0.8"/>
        <cfvo type="num" val="0.98"/>
      </iconSet>
    </cfRule>
  </conditionalFormatting>
  <conditionalFormatting sqref="I24:I27">
    <cfRule type="iconSet" priority="16">
      <iconSet>
        <cfvo type="percent" val="0"/>
        <cfvo type="num" val="0.8"/>
        <cfvo type="num" val="0.98"/>
      </iconSet>
    </cfRule>
  </conditionalFormatting>
  <conditionalFormatting sqref="I28:I31">
    <cfRule type="iconSet" priority="14">
      <iconSet>
        <cfvo type="percent" val="0"/>
        <cfvo type="percent" val="80"/>
        <cfvo type="percent" val="98"/>
      </iconSet>
    </cfRule>
  </conditionalFormatting>
  <conditionalFormatting sqref="I33:I40">
    <cfRule type="iconSet" priority="1">
      <iconSet>
        <cfvo type="percent" val="0"/>
        <cfvo type="num" val="0.8"/>
        <cfvo type="num" val="0.98"/>
      </iconSet>
    </cfRule>
  </conditionalFormatting>
  <conditionalFormatting sqref="J18:J21">
    <cfRule type="iconSet" priority="15">
      <iconSet>
        <cfvo type="percent" val="0"/>
        <cfvo type="num" val="80"/>
        <cfvo type="num" val="90"/>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43DE7-89C0-4104-8210-EE24E4E9645B}">
  <dimension ref="A33:CU147"/>
  <sheetViews>
    <sheetView showGridLines="0" tabSelected="1" zoomScale="70" zoomScaleNormal="70" workbookViewId="0">
      <pane xSplit="6" ySplit="3" topLeftCell="G25" activePane="bottomRight" state="frozen"/>
      <selection pane="topRight" activeCell="G1" sqref="G1"/>
      <selection pane="bottomLeft" activeCell="A4" sqref="A4"/>
      <selection pane="bottomRight" activeCell="O32" sqref="O32"/>
    </sheetView>
  </sheetViews>
  <sheetFormatPr defaultColWidth="8.54296875" defaultRowHeight="11.5" x14ac:dyDescent="0.25"/>
  <cols>
    <col min="1" max="1" width="8.54296875" style="1" bestFit="1" customWidth="1"/>
    <col min="2" max="2" width="11.453125" style="1" bestFit="1" customWidth="1"/>
    <col min="3" max="3" width="19.54296875" style="1" customWidth="1"/>
    <col min="4" max="4" width="12.453125" style="1" customWidth="1"/>
    <col min="5" max="5" width="15.54296875" style="1" customWidth="1"/>
    <col min="6" max="6" width="23" style="1" customWidth="1"/>
    <col min="7" max="7" width="9.54296875" style="1" bestFit="1" customWidth="1"/>
    <col min="8" max="8" width="9.453125" style="1" bestFit="1" customWidth="1"/>
    <col min="9" max="9" width="5" style="1" bestFit="1" customWidth="1"/>
    <col min="10" max="10" width="6.453125" style="1" bestFit="1" customWidth="1"/>
    <col min="11" max="11" width="9.54296875" style="1" bestFit="1" customWidth="1"/>
    <col min="12" max="12" width="5" style="1" bestFit="1" customWidth="1"/>
    <col min="13" max="13" width="6" style="1" bestFit="1" customWidth="1"/>
    <col min="14" max="14" width="9.453125" style="1" bestFit="1" customWidth="1"/>
    <col min="15" max="15" width="6.453125" style="1" customWidth="1"/>
    <col min="16" max="16" width="8.453125" style="1" bestFit="1" customWidth="1"/>
    <col min="17" max="17" width="9.453125" style="1" bestFit="1" customWidth="1"/>
    <col min="18" max="18" width="4.54296875" style="1" customWidth="1"/>
    <col min="19" max="19" width="6.453125" style="1" bestFit="1" customWidth="1"/>
    <col min="20" max="20" width="10.453125" style="1" bestFit="1" customWidth="1"/>
    <col min="21" max="21" width="6" style="1" bestFit="1" customWidth="1"/>
    <col min="22" max="22" width="6.453125" style="1" bestFit="1" customWidth="1"/>
    <col min="23" max="23" width="9.54296875" style="1" bestFit="1" customWidth="1"/>
    <col min="24" max="24" width="5" style="1" bestFit="1" customWidth="1"/>
    <col min="25" max="25" width="6.453125" style="1" bestFit="1" customWidth="1"/>
    <col min="26" max="26" width="9.54296875" style="1" bestFit="1" customWidth="1"/>
    <col min="27" max="27" width="5" style="1" bestFit="1" customWidth="1"/>
    <col min="28" max="28" width="6.453125" style="1" bestFit="1" customWidth="1"/>
    <col min="29" max="29" width="9.54296875" style="1" bestFit="1" customWidth="1"/>
    <col min="30" max="30" width="5" style="1" bestFit="1" customWidth="1"/>
    <col min="31" max="31" width="6.453125" style="1" bestFit="1" customWidth="1"/>
    <col min="32" max="32" width="9.54296875" style="1" bestFit="1" customWidth="1"/>
    <col min="33" max="33" width="5" style="1" bestFit="1" customWidth="1"/>
    <col min="34" max="34" width="7.1796875" style="1" customWidth="1"/>
    <col min="35" max="35" width="9.453125" style="1" bestFit="1" customWidth="1"/>
    <col min="36" max="36" width="4.54296875" style="1" customWidth="1"/>
    <col min="37" max="37" width="7.453125" style="1" customWidth="1"/>
    <col min="38" max="38" width="9.453125" style="1" bestFit="1" customWidth="1"/>
    <col min="39" max="39" width="4.54296875" style="1" customWidth="1"/>
    <col min="40" max="40" width="6.453125" style="1" bestFit="1" customWidth="1"/>
    <col min="41" max="41" width="12.453125" style="1" bestFit="1" customWidth="1"/>
    <col min="42" max="42" width="6" style="1" bestFit="1" customWidth="1"/>
    <col min="43" max="43" width="6.453125" style="1" bestFit="1" customWidth="1"/>
    <col min="44" max="44" width="12.453125" style="1" bestFit="1" customWidth="1"/>
    <col min="45" max="45" width="6.54296875" style="1" bestFit="1" customWidth="1"/>
    <col min="46" max="46" width="6.453125" style="1" bestFit="1" customWidth="1"/>
    <col min="47" max="47" width="12.453125" style="1" bestFit="1" customWidth="1"/>
    <col min="48" max="48" width="6" style="1" bestFit="1" customWidth="1"/>
    <col min="49" max="49" width="6.453125" style="1" bestFit="1" customWidth="1"/>
    <col min="50" max="50" width="12.453125" style="1" bestFit="1" customWidth="1"/>
    <col min="51" max="51" width="6" style="1" bestFit="1" customWidth="1"/>
    <col min="52" max="52" width="6.453125" style="1" bestFit="1" customWidth="1"/>
    <col min="53" max="53" width="12.453125" style="1" bestFit="1" customWidth="1"/>
    <col min="54" max="54" width="6" style="1" bestFit="1" customWidth="1"/>
    <col min="55" max="55" width="7.81640625" style="1" customWidth="1"/>
    <col min="56" max="56" width="12.453125" style="1" bestFit="1" customWidth="1"/>
    <col min="57" max="57" width="6" style="1" bestFit="1" customWidth="1"/>
    <col min="58" max="58" width="7.81640625" style="1" customWidth="1"/>
    <col min="59" max="59" width="12.453125" style="1" bestFit="1" customWidth="1"/>
    <col min="60" max="60" width="6" style="1" bestFit="1" customWidth="1"/>
    <col min="61" max="61" width="7.26953125" style="1" customWidth="1"/>
    <col min="62" max="62" width="12.453125" style="1" bestFit="1" customWidth="1"/>
    <col min="63" max="63" width="6" style="1" bestFit="1" customWidth="1"/>
    <col min="64" max="64" width="6.453125" style="1" bestFit="1" customWidth="1"/>
    <col min="65" max="65" width="12.453125" style="1" bestFit="1" customWidth="1"/>
    <col min="66" max="66" width="6" style="1" bestFit="1" customWidth="1"/>
    <col min="67" max="67" width="5.54296875" style="1" bestFit="1" customWidth="1"/>
    <col min="68" max="68" width="12.453125" style="1" bestFit="1" customWidth="1"/>
    <col min="69" max="69" width="7.453125" style="1" customWidth="1"/>
    <col min="70" max="70" width="6" style="1" bestFit="1" customWidth="1"/>
    <col min="71" max="71" width="12.453125" style="1" bestFit="1" customWidth="1"/>
    <col min="72" max="72" width="6" style="1" bestFit="1" customWidth="1"/>
    <col min="73" max="73" width="5.54296875" style="1" bestFit="1" customWidth="1"/>
    <col min="74" max="74" width="12.453125" style="1" bestFit="1" customWidth="1"/>
    <col min="75" max="75" width="6" style="1" bestFit="1" customWidth="1"/>
    <col min="76" max="76" width="5.54296875" style="1" bestFit="1" customWidth="1"/>
    <col min="77" max="77" width="12.453125" style="1" bestFit="1" customWidth="1"/>
    <col min="78" max="78" width="6" style="1" bestFit="1" customWidth="1"/>
    <col min="79" max="79" width="5.54296875" style="1" bestFit="1" customWidth="1"/>
    <col min="80" max="80" width="12.453125" style="1" bestFit="1" customWidth="1"/>
    <col min="81" max="81" width="6" style="1" bestFit="1" customWidth="1"/>
    <col min="82" max="82" width="5.54296875" style="1" bestFit="1" customWidth="1"/>
    <col min="83" max="83" width="12.453125" style="1" bestFit="1" customWidth="1"/>
    <col min="84" max="84" width="6" style="1" bestFit="1" customWidth="1"/>
    <col min="85" max="85" width="6.453125" style="1" bestFit="1" customWidth="1"/>
    <col min="86" max="86" width="12.453125" style="1" bestFit="1" customWidth="1"/>
    <col min="87" max="87" width="6" style="1" bestFit="1" customWidth="1"/>
    <col min="88" max="88" width="6.453125" style="1" bestFit="1" customWidth="1"/>
    <col min="89" max="89" width="12.453125" style="1" bestFit="1" customWidth="1"/>
    <col min="90" max="90" width="6" style="1" bestFit="1" customWidth="1"/>
    <col min="91" max="91" width="5.54296875" style="1" bestFit="1" customWidth="1"/>
    <col min="92" max="92" width="12.453125" style="1" bestFit="1" customWidth="1"/>
    <col min="93" max="94" width="6" style="1" bestFit="1" customWidth="1"/>
    <col min="95" max="95" width="12.453125" style="1" bestFit="1" customWidth="1"/>
    <col min="96" max="97" width="6" style="1" bestFit="1" customWidth="1"/>
    <col min="98" max="98" width="12.453125" style="1" bestFit="1" customWidth="1"/>
    <col min="99" max="99" width="6" style="1" bestFit="1" customWidth="1"/>
    <col min="100" max="100" width="7.453125" style="1" bestFit="1" customWidth="1"/>
    <col min="101" max="101" width="11.54296875" style="1" bestFit="1" customWidth="1"/>
    <col min="102" max="102" width="6.54296875" style="1" bestFit="1" customWidth="1"/>
    <col min="103" max="103" width="12.453125" style="1" bestFit="1" customWidth="1"/>
    <col min="104" max="16384" width="8.54296875" style="1"/>
  </cols>
  <sheetData>
    <row r="33" spans="1:99" ht="11.9" customHeight="1" x14ac:dyDescent="0.25"/>
    <row r="34" spans="1:99" ht="14.5" x14ac:dyDescent="0.35">
      <c r="A34" s="112" t="s">
        <v>60</v>
      </c>
      <c r="B34" s="158" t="s">
        <v>61</v>
      </c>
      <c r="C34" s="134" t="s">
        <v>62</v>
      </c>
      <c r="D34" s="181" t="s">
        <v>63</v>
      </c>
      <c r="E34" s="182"/>
      <c r="F34" s="183"/>
      <c r="G34" s="181" t="s">
        <v>64</v>
      </c>
      <c r="H34" s="183"/>
      <c r="I34" s="181" t="s">
        <v>65</v>
      </c>
      <c r="J34" s="182"/>
      <c r="K34" s="182"/>
      <c r="L34" s="182"/>
      <c r="M34" s="182"/>
      <c r="N34" s="182"/>
      <c r="O34" s="183"/>
      <c r="P34" s="181" t="s">
        <v>66</v>
      </c>
      <c r="Q34" s="183"/>
      <c r="CU34"/>
    </row>
    <row r="35" spans="1:99" ht="149.25" customHeight="1" x14ac:dyDescent="0.35">
      <c r="A35" s="163">
        <v>46254</v>
      </c>
      <c r="B35" s="110" t="s">
        <v>67</v>
      </c>
      <c r="C35" s="161" t="s">
        <v>68</v>
      </c>
      <c r="D35" s="179" t="s">
        <v>69</v>
      </c>
      <c r="E35" s="188"/>
      <c r="F35" s="189"/>
      <c r="G35" s="180" t="s">
        <v>70</v>
      </c>
      <c r="H35" s="176"/>
      <c r="I35" s="179" t="s">
        <v>71</v>
      </c>
      <c r="J35" s="188"/>
      <c r="K35" s="188"/>
      <c r="L35" s="188"/>
      <c r="M35" s="188"/>
      <c r="N35" s="188"/>
      <c r="O35" s="189"/>
      <c r="P35" s="177">
        <v>46252</v>
      </c>
      <c r="Q35" s="178"/>
      <c r="CU35"/>
    </row>
    <row r="36" spans="1:99" ht="96.75" customHeight="1" x14ac:dyDescent="0.25">
      <c r="A36" s="163"/>
      <c r="B36" s="173" t="s">
        <v>72</v>
      </c>
      <c r="C36" s="172" t="s">
        <v>73</v>
      </c>
      <c r="D36" s="179" t="s">
        <v>74</v>
      </c>
      <c r="E36" s="188"/>
      <c r="F36" s="189"/>
      <c r="G36" s="180" t="s">
        <v>75</v>
      </c>
      <c r="H36" s="176"/>
      <c r="I36" s="174" t="s">
        <v>76</v>
      </c>
      <c r="J36" s="209"/>
      <c r="K36" s="209"/>
      <c r="L36" s="209"/>
      <c r="M36" s="209"/>
      <c r="N36" s="209"/>
      <c r="O36" s="186"/>
      <c r="P36" s="177">
        <v>46276</v>
      </c>
      <c r="Q36" s="178"/>
    </row>
    <row r="37" spans="1:99" ht="64" customHeight="1" x14ac:dyDescent="0.25">
      <c r="A37" s="144"/>
      <c r="B37" s="164" t="s">
        <v>77</v>
      </c>
      <c r="C37" s="133" t="s">
        <v>78</v>
      </c>
      <c r="D37" s="174" t="s">
        <v>79</v>
      </c>
      <c r="E37" s="209"/>
      <c r="F37" s="186"/>
      <c r="G37" s="180" t="s">
        <v>80</v>
      </c>
      <c r="H37" s="176"/>
      <c r="I37" s="174" t="s">
        <v>81</v>
      </c>
      <c r="J37" s="209"/>
      <c r="K37" s="209"/>
      <c r="L37" s="209"/>
      <c r="M37" s="209"/>
      <c r="N37" s="209"/>
      <c r="O37" s="186"/>
      <c r="P37" s="177">
        <v>46254</v>
      </c>
      <c r="Q37" s="178"/>
    </row>
    <row r="38" spans="1:99" ht="40" customHeight="1" x14ac:dyDescent="0.25">
      <c r="A38" s="143"/>
      <c r="B38" s="171" t="s">
        <v>82</v>
      </c>
      <c r="C38" s="133" t="s">
        <v>83</v>
      </c>
      <c r="D38" s="174" t="s">
        <v>84</v>
      </c>
      <c r="E38" s="209"/>
      <c r="F38" s="186"/>
      <c r="G38" s="174" t="s">
        <v>85</v>
      </c>
      <c r="H38" s="186"/>
      <c r="I38" s="180" t="s">
        <v>86</v>
      </c>
      <c r="J38" s="175"/>
      <c r="K38" s="175"/>
      <c r="L38" s="175"/>
      <c r="M38" s="175"/>
      <c r="N38" s="175"/>
      <c r="O38" s="176"/>
      <c r="P38" s="177">
        <v>46255</v>
      </c>
      <c r="Q38" s="178"/>
    </row>
    <row r="39" spans="1:99" ht="87" customHeight="1" x14ac:dyDescent="0.35">
      <c r="A39" s="163">
        <v>46252</v>
      </c>
      <c r="B39" s="110" t="s">
        <v>67</v>
      </c>
      <c r="C39" s="161" t="s">
        <v>68</v>
      </c>
      <c r="D39" s="216" t="s">
        <v>87</v>
      </c>
      <c r="E39" s="217"/>
      <c r="F39" s="218"/>
      <c r="G39" s="180" t="s">
        <v>88</v>
      </c>
      <c r="H39" s="176"/>
      <c r="I39" s="179" t="s">
        <v>89</v>
      </c>
      <c r="J39" s="188"/>
      <c r="K39" s="188"/>
      <c r="L39" s="188"/>
      <c r="M39" s="188"/>
      <c r="N39" s="188"/>
      <c r="O39" s="189"/>
      <c r="P39" s="177"/>
      <c r="Q39" s="178"/>
      <c r="CU39"/>
    </row>
    <row r="40" spans="1:99" ht="68.5" customHeight="1" x14ac:dyDescent="0.25">
      <c r="A40" s="144"/>
      <c r="B40" s="164" t="s">
        <v>72</v>
      </c>
      <c r="C40" s="133" t="s">
        <v>73</v>
      </c>
      <c r="D40" s="179" t="s">
        <v>74</v>
      </c>
      <c r="E40" s="188"/>
      <c r="F40" s="189"/>
      <c r="G40" s="180" t="s">
        <v>75</v>
      </c>
      <c r="H40" s="176"/>
      <c r="I40" s="174" t="s">
        <v>90</v>
      </c>
      <c r="J40" s="209"/>
      <c r="K40" s="209"/>
      <c r="L40" s="209"/>
      <c r="M40" s="209"/>
      <c r="N40" s="209"/>
      <c r="O40" s="186"/>
      <c r="P40" s="177">
        <v>46255</v>
      </c>
      <c r="Q40" s="178"/>
    </row>
    <row r="41" spans="1:99" ht="64" customHeight="1" x14ac:dyDescent="0.25">
      <c r="A41" s="144"/>
      <c r="B41" s="114" t="s">
        <v>91</v>
      </c>
      <c r="C41" s="133" t="s">
        <v>78</v>
      </c>
      <c r="D41" s="174" t="s">
        <v>79</v>
      </c>
      <c r="E41" s="209"/>
      <c r="F41" s="186"/>
      <c r="G41" s="180" t="s">
        <v>80</v>
      </c>
      <c r="H41" s="176"/>
      <c r="I41" s="174" t="s">
        <v>92</v>
      </c>
      <c r="J41" s="209"/>
      <c r="K41" s="209"/>
      <c r="L41" s="209"/>
      <c r="M41" s="209"/>
      <c r="N41" s="209"/>
      <c r="O41" s="186"/>
      <c r="P41" s="177">
        <v>46254</v>
      </c>
      <c r="Q41" s="178"/>
    </row>
    <row r="42" spans="1:99" ht="40" customHeight="1" x14ac:dyDescent="0.25">
      <c r="A42" s="143"/>
      <c r="B42" s="114" t="s">
        <v>82</v>
      </c>
      <c r="C42" s="133" t="s">
        <v>83</v>
      </c>
      <c r="D42" s="174" t="s">
        <v>84</v>
      </c>
      <c r="E42" s="209"/>
      <c r="F42" s="186"/>
      <c r="G42" s="174" t="s">
        <v>85</v>
      </c>
      <c r="H42" s="186"/>
      <c r="I42" s="180" t="s">
        <v>86</v>
      </c>
      <c r="J42" s="175"/>
      <c r="K42" s="175"/>
      <c r="L42" s="175"/>
      <c r="M42" s="175"/>
      <c r="N42" s="175"/>
      <c r="O42" s="176"/>
      <c r="P42" s="177">
        <v>46255</v>
      </c>
      <c r="Q42" s="178"/>
    </row>
    <row r="43" spans="1:99" ht="103.5" customHeight="1" x14ac:dyDescent="0.35">
      <c r="A43" s="163">
        <v>46251</v>
      </c>
      <c r="B43" s="110" t="s">
        <v>93</v>
      </c>
      <c r="C43" s="161" t="s">
        <v>94</v>
      </c>
      <c r="D43" s="179" t="s">
        <v>95</v>
      </c>
      <c r="E43" s="188"/>
      <c r="F43" s="189"/>
      <c r="G43" s="180" t="s">
        <v>96</v>
      </c>
      <c r="H43" s="176"/>
      <c r="I43" s="174" t="s">
        <v>97</v>
      </c>
      <c r="J43" s="209"/>
      <c r="K43" s="209"/>
      <c r="L43" s="209"/>
      <c r="M43" s="209"/>
      <c r="N43" s="209"/>
      <c r="O43" s="186"/>
      <c r="P43" s="177">
        <v>46248</v>
      </c>
      <c r="Q43" s="178"/>
      <c r="CU43"/>
    </row>
    <row r="44" spans="1:99" ht="169" customHeight="1" x14ac:dyDescent="0.35">
      <c r="A44" s="144"/>
      <c r="B44" s="164" t="s">
        <v>67</v>
      </c>
      <c r="C44" s="162" t="s">
        <v>68</v>
      </c>
      <c r="D44" s="179" t="s">
        <v>69</v>
      </c>
      <c r="E44" s="188"/>
      <c r="F44" s="189"/>
      <c r="G44" s="180" t="s">
        <v>70</v>
      </c>
      <c r="H44" s="176"/>
      <c r="I44" s="179" t="s">
        <v>98</v>
      </c>
      <c r="J44" s="188"/>
      <c r="K44" s="188"/>
      <c r="L44" s="188"/>
      <c r="M44" s="188"/>
      <c r="N44" s="188"/>
      <c r="O44" s="189"/>
      <c r="P44" s="177">
        <v>46252</v>
      </c>
      <c r="Q44" s="178"/>
      <c r="CU44"/>
    </row>
    <row r="45" spans="1:99" ht="132" customHeight="1" x14ac:dyDescent="0.25">
      <c r="A45" s="144"/>
      <c r="B45" s="114" t="s">
        <v>72</v>
      </c>
      <c r="C45" s="133" t="s">
        <v>99</v>
      </c>
      <c r="D45" s="179" t="s">
        <v>100</v>
      </c>
      <c r="E45" s="188"/>
      <c r="F45" s="189"/>
      <c r="G45" s="180" t="s">
        <v>75</v>
      </c>
      <c r="H45" s="176"/>
      <c r="I45" s="174" t="s">
        <v>101</v>
      </c>
      <c r="J45" s="209"/>
      <c r="K45" s="209"/>
      <c r="L45" s="209"/>
      <c r="M45" s="209"/>
      <c r="N45" s="209"/>
      <c r="O45" s="186"/>
      <c r="P45" s="177">
        <v>46255</v>
      </c>
      <c r="Q45" s="178"/>
    </row>
    <row r="46" spans="1:99" ht="60.75" customHeight="1" x14ac:dyDescent="0.25">
      <c r="A46" s="144"/>
      <c r="B46" s="114" t="s">
        <v>91</v>
      </c>
      <c r="C46" s="133" t="s">
        <v>78</v>
      </c>
      <c r="D46" s="174" t="s">
        <v>79</v>
      </c>
      <c r="E46" s="209"/>
      <c r="F46" s="186"/>
      <c r="G46" s="180" t="s">
        <v>80</v>
      </c>
      <c r="H46" s="176"/>
      <c r="I46" s="174" t="s">
        <v>102</v>
      </c>
      <c r="J46" s="209"/>
      <c r="K46" s="209"/>
      <c r="L46" s="209"/>
      <c r="M46" s="209"/>
      <c r="N46" s="209"/>
      <c r="O46" s="186"/>
      <c r="P46" s="177">
        <v>46254</v>
      </c>
      <c r="Q46" s="178"/>
    </row>
    <row r="47" spans="1:99" ht="39.65" customHeight="1" x14ac:dyDescent="0.25">
      <c r="A47" s="143"/>
      <c r="B47" s="114" t="s">
        <v>82</v>
      </c>
      <c r="C47" s="133" t="s">
        <v>83</v>
      </c>
      <c r="D47" s="174" t="s">
        <v>84</v>
      </c>
      <c r="E47" s="209"/>
      <c r="F47" s="186"/>
      <c r="G47" s="174" t="s">
        <v>85</v>
      </c>
      <c r="H47" s="186"/>
      <c r="I47" s="180" t="s">
        <v>86</v>
      </c>
      <c r="J47" s="175"/>
      <c r="K47" s="175"/>
      <c r="L47" s="175"/>
      <c r="M47" s="175"/>
      <c r="N47" s="175"/>
      <c r="O47" s="176"/>
      <c r="P47" s="177">
        <v>46255</v>
      </c>
      <c r="Q47" s="178"/>
    </row>
    <row r="48" spans="1:99" ht="103.5" customHeight="1" x14ac:dyDescent="0.35">
      <c r="A48" s="163">
        <v>46250</v>
      </c>
      <c r="B48" s="110" t="s">
        <v>93</v>
      </c>
      <c r="C48" s="161" t="s">
        <v>94</v>
      </c>
      <c r="D48" s="179" t="s">
        <v>95</v>
      </c>
      <c r="E48" s="188"/>
      <c r="F48" s="189"/>
      <c r="G48" s="180" t="s">
        <v>96</v>
      </c>
      <c r="H48" s="176"/>
      <c r="I48" s="174" t="s">
        <v>97</v>
      </c>
      <c r="J48" s="209"/>
      <c r="K48" s="209"/>
      <c r="L48" s="209"/>
      <c r="M48" s="209"/>
      <c r="N48" s="209"/>
      <c r="O48" s="186"/>
      <c r="P48" s="177">
        <v>46248</v>
      </c>
      <c r="Q48" s="178"/>
      <c r="CU48"/>
    </row>
    <row r="49" spans="1:99" ht="169" customHeight="1" x14ac:dyDescent="0.35">
      <c r="A49" s="144"/>
      <c r="B49" s="164" t="s">
        <v>67</v>
      </c>
      <c r="C49" s="162" t="s">
        <v>68</v>
      </c>
      <c r="D49" s="179" t="s">
        <v>69</v>
      </c>
      <c r="E49" s="188"/>
      <c r="F49" s="189"/>
      <c r="G49" s="180" t="s">
        <v>70</v>
      </c>
      <c r="H49" s="176"/>
      <c r="I49" s="179" t="s">
        <v>98</v>
      </c>
      <c r="J49" s="188"/>
      <c r="K49" s="188"/>
      <c r="L49" s="188"/>
      <c r="M49" s="188"/>
      <c r="N49" s="188"/>
      <c r="O49" s="189"/>
      <c r="P49" s="177">
        <v>46252</v>
      </c>
      <c r="Q49" s="178"/>
      <c r="CU49"/>
    </row>
    <row r="50" spans="1:99" ht="126.65" customHeight="1" x14ac:dyDescent="0.25">
      <c r="A50" s="144"/>
      <c r="B50" s="114" t="s">
        <v>72</v>
      </c>
      <c r="C50" s="133" t="s">
        <v>99</v>
      </c>
      <c r="D50" s="179" t="s">
        <v>100</v>
      </c>
      <c r="E50" s="188"/>
      <c r="F50" s="189"/>
      <c r="G50" s="180" t="s">
        <v>75</v>
      </c>
      <c r="H50" s="176"/>
      <c r="I50" s="174" t="s">
        <v>101</v>
      </c>
      <c r="J50" s="209"/>
      <c r="K50" s="209"/>
      <c r="L50" s="209"/>
      <c r="M50" s="209"/>
      <c r="N50" s="209"/>
      <c r="O50" s="186"/>
      <c r="P50" s="177">
        <v>46255</v>
      </c>
      <c r="Q50" s="178"/>
    </row>
    <row r="51" spans="1:99" ht="93" customHeight="1" x14ac:dyDescent="0.25">
      <c r="A51" s="144"/>
      <c r="B51" s="114" t="s">
        <v>103</v>
      </c>
      <c r="C51" s="133" t="s">
        <v>104</v>
      </c>
      <c r="D51" s="179" t="s">
        <v>105</v>
      </c>
      <c r="E51" s="188"/>
      <c r="F51" s="189"/>
      <c r="G51" s="180" t="s">
        <v>75</v>
      </c>
      <c r="H51" s="176"/>
      <c r="I51" s="174" t="s">
        <v>106</v>
      </c>
      <c r="J51" s="209"/>
      <c r="K51" s="209"/>
      <c r="L51" s="209"/>
      <c r="M51" s="209"/>
      <c r="N51" s="209"/>
      <c r="O51" s="186"/>
      <c r="P51" s="177" t="s">
        <v>107</v>
      </c>
      <c r="Q51" s="178"/>
    </row>
    <row r="52" spans="1:99" ht="60.75" customHeight="1" x14ac:dyDescent="0.25">
      <c r="A52" s="144"/>
      <c r="B52" s="114" t="s">
        <v>108</v>
      </c>
      <c r="C52" s="133" t="s">
        <v>78</v>
      </c>
      <c r="D52" s="174" t="s">
        <v>79</v>
      </c>
      <c r="E52" s="209"/>
      <c r="F52" s="186"/>
      <c r="G52" s="180" t="s">
        <v>80</v>
      </c>
      <c r="H52" s="176"/>
      <c r="I52" s="174" t="s">
        <v>109</v>
      </c>
      <c r="J52" s="209"/>
      <c r="K52" s="209"/>
      <c r="L52" s="209"/>
      <c r="M52" s="209"/>
      <c r="N52" s="209"/>
      <c r="O52" s="186"/>
      <c r="P52" s="177">
        <v>46248</v>
      </c>
      <c r="Q52" s="178"/>
    </row>
    <row r="53" spans="1:99" ht="39.65" customHeight="1" x14ac:dyDescent="0.25">
      <c r="A53" s="143"/>
      <c r="B53" s="114" t="s">
        <v>82</v>
      </c>
      <c r="C53" s="133" t="s">
        <v>83</v>
      </c>
      <c r="D53" s="174" t="s">
        <v>84</v>
      </c>
      <c r="E53" s="209"/>
      <c r="F53" s="186"/>
      <c r="G53" s="174" t="s">
        <v>85</v>
      </c>
      <c r="H53" s="186"/>
      <c r="I53" s="180" t="s">
        <v>86</v>
      </c>
      <c r="J53" s="175"/>
      <c r="K53" s="175"/>
      <c r="L53" s="175"/>
      <c r="M53" s="175"/>
      <c r="N53" s="175"/>
      <c r="O53" s="176"/>
      <c r="P53" s="177">
        <v>46255</v>
      </c>
      <c r="Q53" s="178"/>
    </row>
    <row r="54" spans="1:99" ht="103.5" customHeight="1" x14ac:dyDescent="0.35">
      <c r="A54" s="163">
        <v>46247</v>
      </c>
      <c r="B54" s="110" t="s">
        <v>93</v>
      </c>
      <c r="C54" s="161" t="s">
        <v>94</v>
      </c>
      <c r="D54" s="179" t="s">
        <v>110</v>
      </c>
      <c r="E54" s="188"/>
      <c r="F54" s="189"/>
      <c r="G54" s="180" t="s">
        <v>96</v>
      </c>
      <c r="H54" s="176"/>
      <c r="I54" s="174" t="s">
        <v>97</v>
      </c>
      <c r="J54" s="209"/>
      <c r="K54" s="209"/>
      <c r="L54" s="209"/>
      <c r="M54" s="209"/>
      <c r="N54" s="209"/>
      <c r="O54" s="186"/>
      <c r="P54" s="177">
        <v>46248</v>
      </c>
      <c r="Q54" s="178"/>
      <c r="CU54"/>
    </row>
    <row r="55" spans="1:99" ht="168" customHeight="1" x14ac:dyDescent="0.35">
      <c r="A55" s="144"/>
      <c r="B55" s="164" t="s">
        <v>67</v>
      </c>
      <c r="C55" s="162" t="s">
        <v>68</v>
      </c>
      <c r="D55" s="179" t="s">
        <v>111</v>
      </c>
      <c r="E55" s="188"/>
      <c r="F55" s="189"/>
      <c r="G55" s="180" t="s">
        <v>70</v>
      </c>
      <c r="H55" s="176"/>
      <c r="I55" s="179" t="s">
        <v>98</v>
      </c>
      <c r="J55" s="188"/>
      <c r="K55" s="188"/>
      <c r="L55" s="188"/>
      <c r="M55" s="188"/>
      <c r="N55" s="188"/>
      <c r="O55" s="189"/>
      <c r="P55" s="177">
        <v>46252</v>
      </c>
      <c r="Q55" s="178"/>
      <c r="CU55"/>
    </row>
    <row r="56" spans="1:99" ht="122.25" customHeight="1" x14ac:dyDescent="0.25">
      <c r="A56" s="144"/>
      <c r="B56" s="114" t="s">
        <v>72</v>
      </c>
      <c r="C56" s="133" t="s">
        <v>99</v>
      </c>
      <c r="D56" s="179" t="s">
        <v>100</v>
      </c>
      <c r="E56" s="188"/>
      <c r="F56" s="189"/>
      <c r="G56" s="180" t="s">
        <v>75</v>
      </c>
      <c r="H56" s="176"/>
      <c r="I56" s="174" t="s">
        <v>101</v>
      </c>
      <c r="J56" s="209"/>
      <c r="K56" s="209"/>
      <c r="L56" s="209"/>
      <c r="M56" s="209"/>
      <c r="N56" s="209"/>
      <c r="O56" s="186"/>
      <c r="P56" s="177">
        <v>46248</v>
      </c>
      <c r="Q56" s="178"/>
    </row>
    <row r="57" spans="1:99" ht="87" customHeight="1" x14ac:dyDescent="0.25">
      <c r="A57" s="144"/>
      <c r="B57" s="114" t="s">
        <v>103</v>
      </c>
      <c r="C57" s="133" t="s">
        <v>104</v>
      </c>
      <c r="D57" s="179" t="s">
        <v>112</v>
      </c>
      <c r="E57" s="188"/>
      <c r="F57" s="189"/>
      <c r="G57" s="180" t="s">
        <v>75</v>
      </c>
      <c r="H57" s="176"/>
      <c r="I57" s="174" t="s">
        <v>113</v>
      </c>
      <c r="J57" s="209"/>
      <c r="K57" s="209"/>
      <c r="L57" s="209"/>
      <c r="M57" s="209"/>
      <c r="N57" s="209"/>
      <c r="O57" s="186"/>
      <c r="P57" s="177" t="s">
        <v>107</v>
      </c>
      <c r="Q57" s="178"/>
    </row>
    <row r="58" spans="1:99" ht="60.75" customHeight="1" x14ac:dyDescent="0.25">
      <c r="A58" s="144"/>
      <c r="B58" s="114" t="s">
        <v>114</v>
      </c>
      <c r="C58" s="133" t="s">
        <v>78</v>
      </c>
      <c r="D58" s="174" t="s">
        <v>79</v>
      </c>
      <c r="E58" s="209"/>
      <c r="F58" s="186"/>
      <c r="G58" s="180" t="s">
        <v>80</v>
      </c>
      <c r="H58" s="176"/>
      <c r="I58" s="174" t="s">
        <v>115</v>
      </c>
      <c r="J58" s="209"/>
      <c r="K58" s="209"/>
      <c r="L58" s="209"/>
      <c r="M58" s="209"/>
      <c r="N58" s="209"/>
      <c r="O58" s="186"/>
      <c r="P58" s="177">
        <v>46248</v>
      </c>
      <c r="Q58" s="178"/>
    </row>
    <row r="59" spans="1:99" ht="32.25" customHeight="1" x14ac:dyDescent="0.25">
      <c r="A59" s="143"/>
      <c r="B59" s="114" t="s">
        <v>82</v>
      </c>
      <c r="C59" s="133" t="s">
        <v>83</v>
      </c>
      <c r="D59" s="174" t="s">
        <v>84</v>
      </c>
      <c r="E59" s="209"/>
      <c r="F59" s="186"/>
      <c r="G59" s="174" t="s">
        <v>85</v>
      </c>
      <c r="H59" s="186"/>
      <c r="I59" s="180" t="s">
        <v>86</v>
      </c>
      <c r="J59" s="175"/>
      <c r="K59" s="175"/>
      <c r="L59" s="175"/>
      <c r="M59" s="175"/>
      <c r="N59" s="175"/>
      <c r="O59" s="176"/>
      <c r="P59" s="177">
        <v>46255</v>
      </c>
      <c r="Q59" s="178"/>
    </row>
    <row r="60" spans="1:99" ht="103.5" customHeight="1" x14ac:dyDescent="0.35">
      <c r="A60" s="163">
        <v>46246</v>
      </c>
      <c r="B60" s="110" t="s">
        <v>93</v>
      </c>
      <c r="C60" s="161" t="s">
        <v>94</v>
      </c>
      <c r="D60" s="179" t="s">
        <v>110</v>
      </c>
      <c r="E60" s="188"/>
      <c r="F60" s="189"/>
      <c r="G60" s="180" t="s">
        <v>96</v>
      </c>
      <c r="H60" s="176"/>
      <c r="I60" s="174" t="s">
        <v>97</v>
      </c>
      <c r="J60" s="209"/>
      <c r="K60" s="209"/>
      <c r="L60" s="209"/>
      <c r="M60" s="209"/>
      <c r="N60" s="209"/>
      <c r="O60" s="186"/>
      <c r="P60" s="177">
        <v>46248</v>
      </c>
      <c r="Q60" s="178"/>
      <c r="CU60"/>
    </row>
    <row r="61" spans="1:99" ht="132.75" customHeight="1" x14ac:dyDescent="0.35">
      <c r="A61" s="144"/>
      <c r="B61" s="164" t="s">
        <v>67</v>
      </c>
      <c r="C61" s="162" t="s">
        <v>68</v>
      </c>
      <c r="D61" s="179" t="s">
        <v>69</v>
      </c>
      <c r="E61" s="188"/>
      <c r="F61" s="189"/>
      <c r="G61" s="180" t="s">
        <v>70</v>
      </c>
      <c r="H61" s="176"/>
      <c r="I61" s="179" t="s">
        <v>98</v>
      </c>
      <c r="J61" s="188"/>
      <c r="K61" s="188"/>
      <c r="L61" s="188"/>
      <c r="M61" s="188"/>
      <c r="N61" s="188"/>
      <c r="O61" s="189"/>
      <c r="P61" s="177">
        <v>46252</v>
      </c>
      <c r="Q61" s="178"/>
      <c r="CU61"/>
    </row>
    <row r="62" spans="1:99" ht="122.25" customHeight="1" x14ac:dyDescent="0.25">
      <c r="A62" s="144"/>
      <c r="B62" s="114" t="s">
        <v>72</v>
      </c>
      <c r="C62" s="133" t="s">
        <v>99</v>
      </c>
      <c r="D62" s="179" t="s">
        <v>100</v>
      </c>
      <c r="E62" s="188"/>
      <c r="F62" s="189"/>
      <c r="G62" s="180" t="s">
        <v>75</v>
      </c>
      <c r="H62" s="176"/>
      <c r="I62" s="174" t="s">
        <v>101</v>
      </c>
      <c r="J62" s="209"/>
      <c r="K62" s="209"/>
      <c r="L62" s="209"/>
      <c r="M62" s="209"/>
      <c r="N62" s="209"/>
      <c r="O62" s="186"/>
      <c r="P62" s="177">
        <v>46248</v>
      </c>
      <c r="Q62" s="178"/>
    </row>
    <row r="63" spans="1:99" ht="87" customHeight="1" x14ac:dyDescent="0.25">
      <c r="A63" s="144"/>
      <c r="B63" s="114" t="s">
        <v>103</v>
      </c>
      <c r="C63" s="133" t="s">
        <v>104</v>
      </c>
      <c r="D63" s="179" t="s">
        <v>112</v>
      </c>
      <c r="E63" s="188"/>
      <c r="F63" s="189"/>
      <c r="G63" s="180" t="s">
        <v>75</v>
      </c>
      <c r="H63" s="176"/>
      <c r="I63" s="174" t="s">
        <v>113</v>
      </c>
      <c r="J63" s="209"/>
      <c r="K63" s="209"/>
      <c r="L63" s="209"/>
      <c r="M63" s="209"/>
      <c r="N63" s="209"/>
      <c r="O63" s="186"/>
      <c r="P63" s="177" t="s">
        <v>107</v>
      </c>
      <c r="Q63" s="178"/>
    </row>
    <row r="64" spans="1:99" ht="60.75" customHeight="1" x14ac:dyDescent="0.25">
      <c r="A64" s="144"/>
      <c r="B64" s="114" t="s">
        <v>116</v>
      </c>
      <c r="C64" s="133" t="s">
        <v>78</v>
      </c>
      <c r="D64" s="174" t="s">
        <v>79</v>
      </c>
      <c r="E64" s="209"/>
      <c r="F64" s="186"/>
      <c r="G64" s="180" t="s">
        <v>80</v>
      </c>
      <c r="H64" s="176"/>
      <c r="I64" s="174" t="s">
        <v>115</v>
      </c>
      <c r="J64" s="209"/>
      <c r="K64" s="209"/>
      <c r="L64" s="209"/>
      <c r="M64" s="209"/>
      <c r="N64" s="209"/>
      <c r="O64" s="186"/>
      <c r="P64" s="177">
        <v>46248</v>
      </c>
      <c r="Q64" s="178"/>
    </row>
    <row r="65" spans="1:99" ht="32.25" customHeight="1" x14ac:dyDescent="0.25">
      <c r="A65" s="137"/>
      <c r="B65" s="114" t="s">
        <v>82</v>
      </c>
      <c r="C65" s="133" t="s">
        <v>83</v>
      </c>
      <c r="D65" s="174" t="s">
        <v>84</v>
      </c>
      <c r="E65" s="209"/>
      <c r="F65" s="186"/>
      <c r="G65" s="212" t="s">
        <v>117</v>
      </c>
      <c r="H65" s="213"/>
      <c r="I65" s="180" t="s">
        <v>86</v>
      </c>
      <c r="J65" s="175"/>
      <c r="K65" s="175"/>
      <c r="L65" s="175"/>
      <c r="M65" s="175"/>
      <c r="N65" s="175"/>
      <c r="O65" s="176"/>
      <c r="P65" s="177">
        <v>46255</v>
      </c>
      <c r="Q65" s="178"/>
    </row>
    <row r="66" spans="1:99" ht="69" customHeight="1" x14ac:dyDescent="0.35">
      <c r="A66" s="139">
        <v>46245</v>
      </c>
      <c r="B66" s="114" t="s">
        <v>93</v>
      </c>
      <c r="C66" s="133" t="s">
        <v>118</v>
      </c>
      <c r="D66" s="174" t="s">
        <v>119</v>
      </c>
      <c r="E66" s="209"/>
      <c r="F66" s="186"/>
      <c r="G66" s="180" t="s">
        <v>96</v>
      </c>
      <c r="H66" s="176"/>
      <c r="I66" s="174" t="s">
        <v>120</v>
      </c>
      <c r="J66" s="209"/>
      <c r="K66" s="209"/>
      <c r="L66" s="209"/>
      <c r="M66" s="209"/>
      <c r="N66" s="209"/>
      <c r="O66" s="186"/>
      <c r="P66" s="177">
        <v>46248</v>
      </c>
      <c r="Q66" s="178"/>
      <c r="CU66"/>
    </row>
    <row r="67" spans="1:99" ht="53.15" customHeight="1" x14ac:dyDescent="0.25">
      <c r="A67" s="139"/>
      <c r="B67" s="114" t="s">
        <v>121</v>
      </c>
      <c r="C67" s="133" t="s">
        <v>122</v>
      </c>
      <c r="D67" s="174" t="s">
        <v>123</v>
      </c>
      <c r="E67" s="209"/>
      <c r="F67" s="186"/>
      <c r="G67" s="180" t="s">
        <v>124</v>
      </c>
      <c r="H67" s="176"/>
      <c r="I67" s="174" t="s">
        <v>125</v>
      </c>
      <c r="J67" s="209"/>
      <c r="K67" s="209"/>
      <c r="L67" s="209"/>
      <c r="M67" s="209"/>
      <c r="N67" s="209"/>
      <c r="O67" s="186"/>
      <c r="P67" s="177">
        <v>46248</v>
      </c>
      <c r="Q67" s="178"/>
    </row>
    <row r="68" spans="1:99" ht="120.75" customHeight="1" x14ac:dyDescent="0.25">
      <c r="A68" s="144"/>
      <c r="B68" s="114" t="s">
        <v>72</v>
      </c>
      <c r="C68" s="133" t="s">
        <v>126</v>
      </c>
      <c r="D68" s="174" t="s">
        <v>127</v>
      </c>
      <c r="E68" s="209"/>
      <c r="F68" s="186"/>
      <c r="G68" s="180" t="s">
        <v>75</v>
      </c>
      <c r="H68" s="176"/>
      <c r="I68" s="174" t="s">
        <v>101</v>
      </c>
      <c r="J68" s="209"/>
      <c r="K68" s="209"/>
      <c r="L68" s="209"/>
      <c r="M68" s="209"/>
      <c r="N68" s="209"/>
      <c r="O68" s="186"/>
      <c r="P68" s="177">
        <v>46248</v>
      </c>
      <c r="Q68" s="178"/>
    </row>
    <row r="69" spans="1:99" ht="63.65" customHeight="1" x14ac:dyDescent="0.25">
      <c r="A69" s="144"/>
      <c r="B69" s="114" t="s">
        <v>103</v>
      </c>
      <c r="C69" s="133" t="s">
        <v>128</v>
      </c>
      <c r="D69" s="174" t="s">
        <v>129</v>
      </c>
      <c r="E69" s="209"/>
      <c r="F69" s="186"/>
      <c r="G69" s="180" t="s">
        <v>75</v>
      </c>
      <c r="H69" s="176"/>
      <c r="I69" s="174" t="s">
        <v>90</v>
      </c>
      <c r="J69" s="209"/>
      <c r="K69" s="209"/>
      <c r="L69" s="209"/>
      <c r="M69" s="209"/>
      <c r="N69" s="209"/>
      <c r="O69" s="186"/>
      <c r="P69" s="177" t="s">
        <v>107</v>
      </c>
      <c r="Q69" s="178"/>
    </row>
    <row r="70" spans="1:99" ht="55.4" customHeight="1" x14ac:dyDescent="0.25">
      <c r="A70" s="144"/>
      <c r="B70" s="114" t="s">
        <v>116</v>
      </c>
      <c r="C70" s="133" t="s">
        <v>78</v>
      </c>
      <c r="D70" s="174" t="s">
        <v>79</v>
      </c>
      <c r="E70" s="209"/>
      <c r="F70" s="186"/>
      <c r="G70" s="180" t="s">
        <v>80</v>
      </c>
      <c r="H70" s="176"/>
      <c r="I70" s="174" t="s">
        <v>130</v>
      </c>
      <c r="J70" s="209"/>
      <c r="K70" s="209"/>
      <c r="L70" s="209"/>
      <c r="M70" s="209"/>
      <c r="N70" s="209"/>
      <c r="O70" s="186"/>
      <c r="P70" s="177">
        <v>46248</v>
      </c>
      <c r="Q70" s="178"/>
    </row>
    <row r="71" spans="1:99" ht="69" customHeight="1" x14ac:dyDescent="0.35">
      <c r="A71" s="139">
        <v>46244</v>
      </c>
      <c r="B71" s="114" t="s">
        <v>93</v>
      </c>
      <c r="C71" s="133" t="s">
        <v>118</v>
      </c>
      <c r="D71" s="174" t="s">
        <v>119</v>
      </c>
      <c r="E71" s="209"/>
      <c r="F71" s="186"/>
      <c r="G71" s="180" t="s">
        <v>96</v>
      </c>
      <c r="H71" s="176"/>
      <c r="I71" s="174" t="s">
        <v>120</v>
      </c>
      <c r="J71" s="209"/>
      <c r="K71" s="209"/>
      <c r="L71" s="209"/>
      <c r="M71" s="209"/>
      <c r="N71" s="209"/>
      <c r="O71" s="186"/>
      <c r="P71" s="177">
        <v>46248</v>
      </c>
      <c r="Q71" s="178"/>
      <c r="CU71"/>
    </row>
    <row r="72" spans="1:99" ht="53.15" customHeight="1" x14ac:dyDescent="0.25">
      <c r="A72" s="139"/>
      <c r="B72" s="114" t="s">
        <v>121</v>
      </c>
      <c r="C72" s="133" t="s">
        <v>122</v>
      </c>
      <c r="D72" s="174" t="s">
        <v>123</v>
      </c>
      <c r="E72" s="209"/>
      <c r="F72" s="186"/>
      <c r="G72" s="180" t="s">
        <v>124</v>
      </c>
      <c r="H72" s="176"/>
      <c r="I72" s="174" t="s">
        <v>125</v>
      </c>
      <c r="J72" s="209"/>
      <c r="K72" s="209"/>
      <c r="L72" s="209"/>
      <c r="M72" s="209"/>
      <c r="N72" s="209"/>
      <c r="O72" s="186"/>
      <c r="P72" s="177">
        <v>46248</v>
      </c>
      <c r="Q72" s="178"/>
    </row>
    <row r="73" spans="1:99" ht="120.75" customHeight="1" x14ac:dyDescent="0.25">
      <c r="A73" s="144"/>
      <c r="B73" s="114" t="s">
        <v>72</v>
      </c>
      <c r="C73" s="133" t="s">
        <v>126</v>
      </c>
      <c r="D73" s="174" t="s">
        <v>127</v>
      </c>
      <c r="E73" s="209"/>
      <c r="F73" s="186"/>
      <c r="G73" s="180" t="s">
        <v>75</v>
      </c>
      <c r="H73" s="176"/>
      <c r="I73" s="174" t="s">
        <v>101</v>
      </c>
      <c r="J73" s="209"/>
      <c r="K73" s="209"/>
      <c r="L73" s="209"/>
      <c r="M73" s="209"/>
      <c r="N73" s="209"/>
      <c r="O73" s="186"/>
      <c r="P73" s="177">
        <v>46248</v>
      </c>
      <c r="Q73" s="178"/>
    </row>
    <row r="74" spans="1:99" ht="43.5" customHeight="1" x14ac:dyDescent="0.25">
      <c r="A74" s="144"/>
      <c r="B74" s="114" t="s">
        <v>103</v>
      </c>
      <c r="C74" s="133" t="s">
        <v>73</v>
      </c>
      <c r="D74" s="174" t="s">
        <v>131</v>
      </c>
      <c r="E74" s="209"/>
      <c r="F74" s="186"/>
      <c r="G74" s="180" t="s">
        <v>75</v>
      </c>
      <c r="H74" s="176"/>
      <c r="I74" s="174" t="s">
        <v>90</v>
      </c>
      <c r="J74" s="209"/>
      <c r="K74" s="209"/>
      <c r="L74" s="209"/>
      <c r="M74" s="209"/>
      <c r="N74" s="209"/>
      <c r="O74" s="186"/>
      <c r="P74" s="177" t="s">
        <v>107</v>
      </c>
      <c r="Q74" s="178"/>
    </row>
    <row r="75" spans="1:99" ht="65.5" customHeight="1" x14ac:dyDescent="0.25">
      <c r="A75" s="144"/>
      <c r="B75" s="114" t="s">
        <v>132</v>
      </c>
      <c r="C75" s="133" t="s">
        <v>78</v>
      </c>
      <c r="D75" s="174" t="s">
        <v>79</v>
      </c>
      <c r="E75" s="209"/>
      <c r="F75" s="186"/>
      <c r="G75" s="180" t="s">
        <v>80</v>
      </c>
      <c r="H75" s="176"/>
      <c r="I75" s="174" t="s">
        <v>130</v>
      </c>
      <c r="J75" s="209"/>
      <c r="K75" s="209"/>
      <c r="L75" s="209"/>
      <c r="M75" s="209"/>
      <c r="N75" s="209"/>
      <c r="O75" s="186"/>
      <c r="P75" s="177">
        <v>46248</v>
      </c>
      <c r="Q75" s="178"/>
    </row>
    <row r="76" spans="1:99" ht="55.5" customHeight="1" x14ac:dyDescent="0.25">
      <c r="A76" s="139">
        <v>46243</v>
      </c>
      <c r="B76" s="114" t="s">
        <v>93</v>
      </c>
      <c r="C76" s="133" t="s">
        <v>118</v>
      </c>
      <c r="D76" s="174" t="s">
        <v>133</v>
      </c>
      <c r="E76" s="209"/>
      <c r="F76" s="186"/>
      <c r="G76" s="180" t="s">
        <v>96</v>
      </c>
      <c r="H76" s="176"/>
      <c r="I76" s="174" t="s">
        <v>134</v>
      </c>
      <c r="J76" s="209"/>
      <c r="K76" s="209"/>
      <c r="L76" s="209"/>
      <c r="M76" s="209"/>
      <c r="N76" s="209"/>
      <c r="O76" s="186"/>
      <c r="P76" s="177">
        <v>46248</v>
      </c>
      <c r="Q76" s="178"/>
    </row>
    <row r="77" spans="1:99" ht="48.75" customHeight="1" x14ac:dyDescent="0.25">
      <c r="A77" s="144"/>
      <c r="B77" s="114" t="s">
        <v>121</v>
      </c>
      <c r="C77" s="133" t="s">
        <v>122</v>
      </c>
      <c r="D77" s="174" t="s">
        <v>135</v>
      </c>
      <c r="E77" s="209"/>
      <c r="F77" s="186"/>
      <c r="G77" s="180" t="s">
        <v>124</v>
      </c>
      <c r="H77" s="176"/>
      <c r="I77" s="174" t="s">
        <v>136</v>
      </c>
      <c r="J77" s="209"/>
      <c r="K77" s="209"/>
      <c r="L77" s="209"/>
      <c r="M77" s="209"/>
      <c r="N77" s="209"/>
      <c r="O77" s="186"/>
      <c r="P77" s="177">
        <v>46245</v>
      </c>
      <c r="Q77" s="178"/>
    </row>
    <row r="78" spans="1:99" ht="51.75" customHeight="1" x14ac:dyDescent="0.25">
      <c r="A78" s="144"/>
      <c r="B78" s="114" t="s">
        <v>72</v>
      </c>
      <c r="C78" s="133" t="s">
        <v>137</v>
      </c>
      <c r="D78" s="174" t="s">
        <v>138</v>
      </c>
      <c r="E78" s="209"/>
      <c r="F78" s="186"/>
      <c r="G78" s="180" t="s">
        <v>75</v>
      </c>
      <c r="H78" s="176"/>
      <c r="I78" s="174" t="s">
        <v>139</v>
      </c>
      <c r="J78" s="209"/>
      <c r="K78" s="209"/>
      <c r="L78" s="209"/>
      <c r="M78" s="209"/>
      <c r="N78" s="209"/>
      <c r="O78" s="186"/>
      <c r="P78" s="177">
        <v>46248</v>
      </c>
      <c r="Q78" s="178"/>
    </row>
    <row r="79" spans="1:99" ht="34.5" customHeight="1" x14ac:dyDescent="0.25">
      <c r="A79" s="144"/>
      <c r="B79" s="114" t="s">
        <v>103</v>
      </c>
      <c r="C79" s="133" t="s">
        <v>73</v>
      </c>
      <c r="D79" s="174" t="s">
        <v>140</v>
      </c>
      <c r="E79" s="209"/>
      <c r="F79" s="186"/>
      <c r="G79" s="180" t="s">
        <v>75</v>
      </c>
      <c r="H79" s="176"/>
      <c r="I79" s="174" t="s">
        <v>141</v>
      </c>
      <c r="J79" s="209"/>
      <c r="K79" s="209"/>
      <c r="L79" s="209"/>
      <c r="M79" s="209"/>
      <c r="N79" s="209"/>
      <c r="O79" s="186"/>
      <c r="P79" s="177" t="s">
        <v>107</v>
      </c>
      <c r="Q79" s="178"/>
    </row>
    <row r="80" spans="1:99" ht="51" customHeight="1" x14ac:dyDescent="0.25">
      <c r="A80" s="144"/>
      <c r="B80" s="114" t="s">
        <v>142</v>
      </c>
      <c r="C80" s="133" t="s">
        <v>78</v>
      </c>
      <c r="D80" s="174" t="s">
        <v>79</v>
      </c>
      <c r="E80" s="209"/>
      <c r="F80" s="186"/>
      <c r="G80" s="180" t="s">
        <v>80</v>
      </c>
      <c r="H80" s="176"/>
      <c r="I80" s="174" t="s">
        <v>143</v>
      </c>
      <c r="J80" s="209"/>
      <c r="K80" s="209"/>
      <c r="L80" s="209"/>
      <c r="M80" s="209"/>
      <c r="N80" s="209"/>
      <c r="O80" s="186"/>
      <c r="P80" s="177">
        <v>46248</v>
      </c>
      <c r="Q80" s="178"/>
    </row>
    <row r="81" spans="1:17" ht="91.5" customHeight="1" x14ac:dyDescent="0.25">
      <c r="A81" s="139">
        <v>46240</v>
      </c>
      <c r="B81" s="114" t="s">
        <v>93</v>
      </c>
      <c r="C81" s="133" t="s">
        <v>144</v>
      </c>
      <c r="D81" s="174" t="s">
        <v>145</v>
      </c>
      <c r="E81" s="209"/>
      <c r="F81" s="186"/>
      <c r="G81" s="180" t="s">
        <v>96</v>
      </c>
      <c r="H81" s="176"/>
      <c r="I81" s="174" t="s">
        <v>146</v>
      </c>
      <c r="J81" s="209"/>
      <c r="K81" s="209"/>
      <c r="L81" s="209"/>
      <c r="M81" s="209"/>
      <c r="N81" s="209"/>
      <c r="O81" s="186"/>
      <c r="P81" s="177" t="s">
        <v>147</v>
      </c>
      <c r="Q81" s="178"/>
    </row>
    <row r="82" spans="1:17" ht="58.5" customHeight="1" x14ac:dyDescent="0.25">
      <c r="A82" s="144"/>
      <c r="B82" s="114" t="s">
        <v>121</v>
      </c>
      <c r="C82" s="133" t="s">
        <v>122</v>
      </c>
      <c r="D82" s="174" t="s">
        <v>135</v>
      </c>
      <c r="E82" s="209"/>
      <c r="F82" s="186"/>
      <c r="G82" s="180" t="s">
        <v>124</v>
      </c>
      <c r="H82" s="176"/>
      <c r="I82" s="174" t="s">
        <v>136</v>
      </c>
      <c r="J82" s="209"/>
      <c r="K82" s="209"/>
      <c r="L82" s="209"/>
      <c r="M82" s="209"/>
      <c r="N82" s="209"/>
      <c r="O82" s="186"/>
      <c r="P82" s="177">
        <v>46245</v>
      </c>
      <c r="Q82" s="178"/>
    </row>
    <row r="83" spans="1:17" ht="46.4" customHeight="1" x14ac:dyDescent="0.25">
      <c r="A83" s="144"/>
      <c r="B83" s="114" t="s">
        <v>72</v>
      </c>
      <c r="C83" s="133" t="s">
        <v>137</v>
      </c>
      <c r="D83" s="174" t="s">
        <v>138</v>
      </c>
      <c r="E83" s="209"/>
      <c r="F83" s="186"/>
      <c r="G83" s="180" t="s">
        <v>75</v>
      </c>
      <c r="H83" s="176"/>
      <c r="I83" s="174" t="s">
        <v>148</v>
      </c>
      <c r="J83" s="209"/>
      <c r="K83" s="209"/>
      <c r="L83" s="209"/>
      <c r="M83" s="209"/>
      <c r="N83" s="209"/>
      <c r="O83" s="186"/>
      <c r="P83" s="177">
        <v>46262</v>
      </c>
      <c r="Q83" s="178"/>
    </row>
    <row r="84" spans="1:17" ht="44.9" customHeight="1" x14ac:dyDescent="0.25">
      <c r="A84" s="144"/>
      <c r="B84" s="114" t="s">
        <v>103</v>
      </c>
      <c r="C84" s="133" t="s">
        <v>149</v>
      </c>
      <c r="D84" s="174" t="s">
        <v>150</v>
      </c>
      <c r="E84" s="209"/>
      <c r="F84" s="186"/>
      <c r="G84" s="180" t="s">
        <v>75</v>
      </c>
      <c r="H84" s="176"/>
      <c r="I84" s="174" t="s">
        <v>151</v>
      </c>
      <c r="J84" s="209"/>
      <c r="K84" s="209"/>
      <c r="L84" s="209"/>
      <c r="M84" s="209"/>
      <c r="N84" s="209"/>
      <c r="O84" s="186"/>
      <c r="P84" s="177" t="s">
        <v>152</v>
      </c>
      <c r="Q84" s="178"/>
    </row>
    <row r="85" spans="1:17" ht="53.15" customHeight="1" x14ac:dyDescent="0.25">
      <c r="A85" s="144"/>
      <c r="B85" s="114" t="s">
        <v>142</v>
      </c>
      <c r="C85" s="133" t="s">
        <v>78</v>
      </c>
      <c r="D85" s="174" t="s">
        <v>79</v>
      </c>
      <c r="E85" s="209"/>
      <c r="F85" s="186"/>
      <c r="G85" s="180" t="s">
        <v>80</v>
      </c>
      <c r="H85" s="176"/>
      <c r="I85" s="174" t="s">
        <v>143</v>
      </c>
      <c r="J85" s="209"/>
      <c r="K85" s="209"/>
      <c r="L85" s="209"/>
      <c r="M85" s="209"/>
      <c r="N85" s="209"/>
      <c r="O85" s="186"/>
      <c r="P85" s="177">
        <v>46248</v>
      </c>
      <c r="Q85" s="178"/>
    </row>
    <row r="86" spans="1:17" ht="58.5" customHeight="1" x14ac:dyDescent="0.25">
      <c r="A86" s="146"/>
      <c r="B86" s="114" t="s">
        <v>153</v>
      </c>
      <c r="C86" s="133" t="s">
        <v>154</v>
      </c>
      <c r="D86" s="174" t="s">
        <v>155</v>
      </c>
      <c r="E86" s="209"/>
      <c r="F86" s="186"/>
      <c r="G86" s="180" t="s">
        <v>156</v>
      </c>
      <c r="H86" s="176"/>
      <c r="I86" s="174" t="s">
        <v>157</v>
      </c>
      <c r="J86" s="209"/>
      <c r="K86" s="209"/>
      <c r="L86" s="209"/>
      <c r="M86" s="209"/>
      <c r="N86" s="209"/>
      <c r="O86" s="186"/>
      <c r="P86" s="177">
        <v>46248</v>
      </c>
      <c r="Q86" s="178"/>
    </row>
    <row r="87" spans="1:17" ht="58.5" customHeight="1" x14ac:dyDescent="0.25">
      <c r="A87" s="144">
        <v>46238</v>
      </c>
      <c r="B87" s="114" t="s">
        <v>158</v>
      </c>
      <c r="C87" s="133" t="s">
        <v>159</v>
      </c>
      <c r="D87" s="174" t="s">
        <v>160</v>
      </c>
      <c r="E87" s="209"/>
      <c r="F87" s="186"/>
      <c r="G87" s="180" t="s">
        <v>124</v>
      </c>
      <c r="H87" s="176"/>
      <c r="I87" s="174" t="s">
        <v>161</v>
      </c>
      <c r="J87" s="209"/>
      <c r="K87" s="209"/>
      <c r="L87" s="209"/>
      <c r="M87" s="209"/>
      <c r="N87" s="209"/>
      <c r="O87" s="186"/>
      <c r="P87" s="177">
        <v>46240</v>
      </c>
      <c r="Q87" s="178"/>
    </row>
    <row r="88" spans="1:17" ht="91.5" customHeight="1" x14ac:dyDescent="0.25">
      <c r="A88" s="144"/>
      <c r="B88" s="114" t="s">
        <v>93</v>
      </c>
      <c r="C88" s="133" t="s">
        <v>162</v>
      </c>
      <c r="D88" s="174" t="s">
        <v>163</v>
      </c>
      <c r="E88" s="209"/>
      <c r="F88" s="186"/>
      <c r="G88" s="180" t="s">
        <v>96</v>
      </c>
      <c r="H88" s="176"/>
      <c r="I88" s="174" t="s">
        <v>164</v>
      </c>
      <c r="J88" s="209"/>
      <c r="K88" s="209"/>
      <c r="L88" s="209"/>
      <c r="M88" s="209"/>
      <c r="N88" s="209"/>
      <c r="O88" s="186"/>
      <c r="P88" s="177" t="s">
        <v>165</v>
      </c>
      <c r="Q88" s="178"/>
    </row>
    <row r="89" spans="1:17" ht="87" customHeight="1" x14ac:dyDescent="0.25">
      <c r="A89" s="137"/>
      <c r="B89" s="114" t="s">
        <v>72</v>
      </c>
      <c r="C89" s="133" t="s">
        <v>166</v>
      </c>
      <c r="D89" s="174" t="s">
        <v>167</v>
      </c>
      <c r="E89" s="209"/>
      <c r="F89" s="186"/>
      <c r="G89" s="180" t="s">
        <v>168</v>
      </c>
      <c r="H89" s="176"/>
      <c r="I89" s="180" t="s">
        <v>169</v>
      </c>
      <c r="J89" s="175"/>
      <c r="K89" s="175"/>
      <c r="L89" s="175"/>
      <c r="M89" s="175"/>
      <c r="N89" s="175"/>
      <c r="O89" s="176"/>
      <c r="P89" s="177">
        <v>46241</v>
      </c>
      <c r="Q89" s="178"/>
    </row>
    <row r="90" spans="1:17" ht="58.5" customHeight="1" x14ac:dyDescent="0.25">
      <c r="A90" s="139">
        <v>46237</v>
      </c>
      <c r="B90" s="114" t="s">
        <v>158</v>
      </c>
      <c r="C90" s="133" t="s">
        <v>159</v>
      </c>
      <c r="D90" s="174" t="s">
        <v>160</v>
      </c>
      <c r="E90" s="209"/>
      <c r="F90" s="186"/>
      <c r="G90" s="180" t="s">
        <v>124</v>
      </c>
      <c r="H90" s="176"/>
      <c r="I90" s="174" t="s">
        <v>161</v>
      </c>
      <c r="J90" s="209"/>
      <c r="K90" s="209"/>
      <c r="L90" s="209"/>
      <c r="M90" s="209"/>
      <c r="N90" s="209"/>
      <c r="O90" s="186"/>
      <c r="P90" s="177">
        <v>46240</v>
      </c>
      <c r="Q90" s="178"/>
    </row>
    <row r="91" spans="1:17" ht="91.5" customHeight="1" x14ac:dyDescent="0.25">
      <c r="A91" s="144"/>
      <c r="B91" s="114" t="s">
        <v>93</v>
      </c>
      <c r="C91" s="133" t="s">
        <v>162</v>
      </c>
      <c r="D91" s="174" t="s">
        <v>163</v>
      </c>
      <c r="E91" s="209"/>
      <c r="F91" s="186"/>
      <c r="G91" s="180" t="s">
        <v>96</v>
      </c>
      <c r="H91" s="176"/>
      <c r="I91" s="174" t="s">
        <v>164</v>
      </c>
      <c r="J91" s="209"/>
      <c r="K91" s="209"/>
      <c r="L91" s="209"/>
      <c r="M91" s="209"/>
      <c r="N91" s="209"/>
      <c r="O91" s="186"/>
      <c r="P91" s="177" t="s">
        <v>165</v>
      </c>
      <c r="Q91" s="178"/>
    </row>
    <row r="92" spans="1:17" ht="87" customHeight="1" x14ac:dyDescent="0.25">
      <c r="A92" s="137"/>
      <c r="B92" s="114" t="s">
        <v>72</v>
      </c>
      <c r="C92" s="133" t="s">
        <v>166</v>
      </c>
      <c r="D92" s="174" t="s">
        <v>167</v>
      </c>
      <c r="E92" s="209"/>
      <c r="F92" s="186"/>
      <c r="G92" s="180" t="s">
        <v>168</v>
      </c>
      <c r="H92" s="176"/>
      <c r="I92" s="180" t="s">
        <v>170</v>
      </c>
      <c r="J92" s="175"/>
      <c r="K92" s="175"/>
      <c r="L92" s="175"/>
      <c r="M92" s="175"/>
      <c r="N92" s="175"/>
      <c r="O92" s="176"/>
      <c r="P92" s="177">
        <v>46241</v>
      </c>
      <c r="Q92" s="178"/>
    </row>
    <row r="93" spans="1:17" ht="42.75" customHeight="1" x14ac:dyDescent="0.25">
      <c r="A93" s="137"/>
      <c r="B93" s="114" t="s">
        <v>171</v>
      </c>
      <c r="C93" s="133" t="s">
        <v>172</v>
      </c>
      <c r="D93" s="174" t="s">
        <v>173</v>
      </c>
      <c r="E93" s="209"/>
      <c r="F93" s="186"/>
      <c r="G93" s="180" t="s">
        <v>80</v>
      </c>
      <c r="H93" s="176"/>
      <c r="I93" s="180" t="s">
        <v>174</v>
      </c>
      <c r="J93" s="175"/>
      <c r="K93" s="175"/>
      <c r="L93" s="175"/>
      <c r="M93" s="175"/>
      <c r="N93" s="175"/>
      <c r="O93" s="176"/>
      <c r="P93" s="177">
        <v>46241</v>
      </c>
      <c r="Q93" s="178"/>
    </row>
    <row r="94" spans="1:17" ht="35.25" customHeight="1" x14ac:dyDescent="0.25">
      <c r="A94" s="139">
        <v>46234</v>
      </c>
      <c r="B94" s="114" t="s">
        <v>175</v>
      </c>
      <c r="C94" s="133" t="s">
        <v>176</v>
      </c>
      <c r="D94" s="174" t="s">
        <v>177</v>
      </c>
      <c r="E94" s="209"/>
      <c r="F94" s="186"/>
      <c r="G94" s="210" t="s">
        <v>178</v>
      </c>
      <c r="H94" s="211"/>
      <c r="I94" s="174" t="s">
        <v>179</v>
      </c>
      <c r="J94" s="209"/>
      <c r="K94" s="209"/>
      <c r="L94" s="209"/>
      <c r="M94" s="209"/>
      <c r="N94" s="209"/>
      <c r="O94" s="186"/>
      <c r="P94" s="177" t="s">
        <v>180</v>
      </c>
      <c r="Q94" s="178"/>
    </row>
    <row r="95" spans="1:17" ht="35.25" customHeight="1" x14ac:dyDescent="0.25">
      <c r="A95" s="137"/>
      <c r="B95" s="114" t="s">
        <v>181</v>
      </c>
      <c r="C95" s="133" t="s">
        <v>182</v>
      </c>
      <c r="D95" s="174" t="s">
        <v>183</v>
      </c>
      <c r="E95" s="209"/>
      <c r="F95" s="186"/>
      <c r="G95" s="210" t="s">
        <v>184</v>
      </c>
      <c r="H95" s="211"/>
      <c r="I95" s="180" t="s">
        <v>185</v>
      </c>
      <c r="J95" s="175"/>
      <c r="K95" s="175"/>
      <c r="L95" s="175"/>
      <c r="M95" s="175"/>
      <c r="N95" s="175"/>
      <c r="O95" s="176"/>
      <c r="P95" s="177">
        <v>46234</v>
      </c>
      <c r="Q95" s="178"/>
    </row>
    <row r="96" spans="1:17" ht="35.25" customHeight="1" x14ac:dyDescent="0.25">
      <c r="A96" s="137"/>
      <c r="B96" s="114" t="s">
        <v>186</v>
      </c>
      <c r="C96" s="133" t="s">
        <v>187</v>
      </c>
      <c r="D96" s="174" t="s">
        <v>173</v>
      </c>
      <c r="E96" s="209"/>
      <c r="F96" s="186"/>
      <c r="G96" s="210" t="s">
        <v>184</v>
      </c>
      <c r="H96" s="211"/>
      <c r="I96" s="180" t="s">
        <v>188</v>
      </c>
      <c r="J96" s="175"/>
      <c r="K96" s="175"/>
      <c r="L96" s="175"/>
      <c r="M96" s="175"/>
      <c r="N96" s="175"/>
      <c r="O96" s="176"/>
      <c r="P96" s="177">
        <v>46241</v>
      </c>
      <c r="Q96" s="178"/>
    </row>
    <row r="97" spans="1:17" ht="39" customHeight="1" x14ac:dyDescent="0.25">
      <c r="A97" s="139">
        <v>46233</v>
      </c>
      <c r="B97" s="114" t="s">
        <v>175</v>
      </c>
      <c r="C97" s="133" t="s">
        <v>176</v>
      </c>
      <c r="D97" s="174" t="s">
        <v>177</v>
      </c>
      <c r="E97" s="209"/>
      <c r="F97" s="186"/>
      <c r="G97" s="210" t="s">
        <v>178</v>
      </c>
      <c r="H97" s="211"/>
      <c r="I97" s="174" t="s">
        <v>179</v>
      </c>
      <c r="J97" s="209"/>
      <c r="K97" s="209"/>
      <c r="L97" s="209"/>
      <c r="M97" s="209"/>
      <c r="N97" s="209"/>
      <c r="O97" s="186"/>
      <c r="P97" s="177" t="s">
        <v>180</v>
      </c>
      <c r="Q97" s="178"/>
    </row>
    <row r="98" spans="1:17" ht="41.25" customHeight="1" x14ac:dyDescent="0.25">
      <c r="A98" s="137"/>
      <c r="B98" s="114" t="s">
        <v>186</v>
      </c>
      <c r="C98" s="133" t="s">
        <v>189</v>
      </c>
      <c r="D98" s="174" t="s">
        <v>190</v>
      </c>
      <c r="E98" s="209"/>
      <c r="F98" s="186"/>
      <c r="G98" s="212" t="s">
        <v>191</v>
      </c>
      <c r="H98" s="213"/>
      <c r="I98" s="174" t="s">
        <v>192</v>
      </c>
      <c r="J98" s="209"/>
      <c r="K98" s="209"/>
      <c r="L98" s="209"/>
      <c r="M98" s="209"/>
      <c r="N98" s="209"/>
      <c r="O98" s="186"/>
      <c r="P98" s="177">
        <v>46234</v>
      </c>
      <c r="Q98" s="178"/>
    </row>
    <row r="99" spans="1:17" ht="34.5" x14ac:dyDescent="0.25">
      <c r="A99" s="137"/>
      <c r="B99" s="114" t="s">
        <v>186</v>
      </c>
      <c r="C99" s="133" t="s">
        <v>193</v>
      </c>
      <c r="D99" s="174" t="s">
        <v>173</v>
      </c>
      <c r="E99" s="209"/>
      <c r="F99" s="186"/>
      <c r="G99" s="210" t="s">
        <v>184</v>
      </c>
      <c r="H99" s="211"/>
      <c r="I99" s="180" t="s">
        <v>188</v>
      </c>
      <c r="J99" s="175"/>
      <c r="K99" s="175"/>
      <c r="L99" s="175"/>
      <c r="M99" s="175"/>
      <c r="N99" s="175"/>
      <c r="O99" s="176"/>
      <c r="P99" s="177">
        <v>46241</v>
      </c>
      <c r="Q99" s="178"/>
    </row>
    <row r="100" spans="1:17" ht="39" customHeight="1" x14ac:dyDescent="0.25">
      <c r="A100" s="139">
        <v>46232</v>
      </c>
      <c r="B100" s="114" t="s">
        <v>175</v>
      </c>
      <c r="C100" s="133" t="s">
        <v>176</v>
      </c>
      <c r="D100" s="174" t="s">
        <v>177</v>
      </c>
      <c r="E100" s="209"/>
      <c r="F100" s="186"/>
      <c r="G100" s="210" t="s">
        <v>178</v>
      </c>
      <c r="H100" s="211"/>
      <c r="I100" s="174" t="s">
        <v>179</v>
      </c>
      <c r="J100" s="209"/>
      <c r="K100" s="209"/>
      <c r="L100" s="209"/>
      <c r="M100" s="209"/>
      <c r="N100" s="209"/>
      <c r="O100" s="186"/>
      <c r="P100" s="177" t="s">
        <v>180</v>
      </c>
      <c r="Q100" s="178"/>
    </row>
    <row r="101" spans="1:17" ht="23" x14ac:dyDescent="0.25">
      <c r="A101" s="137"/>
      <c r="B101" s="114" t="s">
        <v>194</v>
      </c>
      <c r="C101" s="133" t="s">
        <v>195</v>
      </c>
      <c r="D101" s="174" t="s">
        <v>196</v>
      </c>
      <c r="E101" s="209"/>
      <c r="F101" s="186"/>
      <c r="G101" s="212" t="s">
        <v>184</v>
      </c>
      <c r="H101" s="213"/>
      <c r="I101" s="174" t="s">
        <v>197</v>
      </c>
      <c r="J101" s="209"/>
      <c r="K101" s="209"/>
      <c r="L101" s="209"/>
      <c r="M101" s="209"/>
      <c r="N101" s="209"/>
      <c r="O101" s="186"/>
      <c r="P101" s="177">
        <v>46223</v>
      </c>
      <c r="Q101" s="178"/>
    </row>
    <row r="102" spans="1:17" ht="46.5" customHeight="1" x14ac:dyDescent="0.25">
      <c r="A102" s="137"/>
      <c r="B102" s="114" t="s">
        <v>186</v>
      </c>
      <c r="C102" s="133" t="s">
        <v>189</v>
      </c>
      <c r="D102" s="174" t="s">
        <v>190</v>
      </c>
      <c r="E102" s="209"/>
      <c r="F102" s="186"/>
      <c r="G102" s="212" t="s">
        <v>191</v>
      </c>
      <c r="H102" s="213"/>
      <c r="I102" s="174" t="s">
        <v>192</v>
      </c>
      <c r="J102" s="209"/>
      <c r="K102" s="209"/>
      <c r="L102" s="209"/>
      <c r="M102" s="209"/>
      <c r="N102" s="209"/>
      <c r="O102" s="186"/>
      <c r="P102" s="177">
        <v>46234</v>
      </c>
      <c r="Q102" s="178"/>
    </row>
    <row r="103" spans="1:17" ht="34.5" x14ac:dyDescent="0.25">
      <c r="A103" s="137"/>
      <c r="B103" s="114" t="s">
        <v>186</v>
      </c>
      <c r="C103" s="133" t="s">
        <v>198</v>
      </c>
      <c r="D103" s="174" t="s">
        <v>173</v>
      </c>
      <c r="E103" s="209"/>
      <c r="F103" s="186"/>
      <c r="G103" s="210" t="s">
        <v>184</v>
      </c>
      <c r="H103" s="211"/>
      <c r="I103" s="180" t="s">
        <v>188</v>
      </c>
      <c r="J103" s="175"/>
      <c r="K103" s="175"/>
      <c r="L103" s="175"/>
      <c r="M103" s="175"/>
      <c r="N103" s="175"/>
      <c r="O103" s="176"/>
      <c r="P103" s="177">
        <v>46241</v>
      </c>
      <c r="Q103" s="178"/>
    </row>
    <row r="104" spans="1:17" ht="39" customHeight="1" x14ac:dyDescent="0.25">
      <c r="A104" s="139">
        <v>46231</v>
      </c>
      <c r="B104" s="114" t="s">
        <v>175</v>
      </c>
      <c r="C104" s="133" t="s">
        <v>176</v>
      </c>
      <c r="D104" s="174" t="s">
        <v>177</v>
      </c>
      <c r="E104" s="209"/>
      <c r="F104" s="186"/>
      <c r="G104" s="210" t="s">
        <v>178</v>
      </c>
      <c r="H104" s="211"/>
      <c r="I104" s="174" t="s">
        <v>179</v>
      </c>
      <c r="J104" s="209"/>
      <c r="K104" s="209"/>
      <c r="L104" s="209"/>
      <c r="M104" s="209"/>
      <c r="N104" s="209"/>
      <c r="O104" s="186"/>
      <c r="P104" s="177" t="s">
        <v>180</v>
      </c>
      <c r="Q104" s="178"/>
    </row>
    <row r="105" spans="1:17" ht="26.25" customHeight="1" x14ac:dyDescent="0.25">
      <c r="A105" s="137"/>
      <c r="B105" s="114" t="s">
        <v>82</v>
      </c>
      <c r="C105" s="133" t="s">
        <v>83</v>
      </c>
      <c r="D105" s="174" t="s">
        <v>173</v>
      </c>
      <c r="E105" s="209"/>
      <c r="F105" s="186"/>
      <c r="G105" s="212" t="s">
        <v>117</v>
      </c>
      <c r="H105" s="213"/>
      <c r="I105" s="180" t="s">
        <v>199</v>
      </c>
      <c r="J105" s="175"/>
      <c r="K105" s="175"/>
      <c r="L105" s="175"/>
      <c r="M105" s="175"/>
      <c r="N105" s="175"/>
      <c r="O105" s="176"/>
      <c r="P105" s="177">
        <v>46226</v>
      </c>
      <c r="Q105" s="178"/>
    </row>
    <row r="106" spans="1:17" ht="42.75" customHeight="1" x14ac:dyDescent="0.25">
      <c r="A106" s="137"/>
      <c r="B106" s="114" t="s">
        <v>186</v>
      </c>
      <c r="C106" s="133" t="s">
        <v>200</v>
      </c>
      <c r="D106" s="174" t="s">
        <v>190</v>
      </c>
      <c r="E106" s="209"/>
      <c r="F106" s="186"/>
      <c r="G106" s="212" t="s">
        <v>191</v>
      </c>
      <c r="H106" s="213"/>
      <c r="I106" s="174" t="s">
        <v>192</v>
      </c>
      <c r="J106" s="209"/>
      <c r="K106" s="209"/>
      <c r="L106" s="209"/>
      <c r="M106" s="209"/>
      <c r="N106" s="209"/>
      <c r="O106" s="186"/>
      <c r="P106" s="177">
        <v>46234</v>
      </c>
      <c r="Q106" s="178"/>
    </row>
    <row r="107" spans="1:17" ht="34.5" x14ac:dyDescent="0.25">
      <c r="A107" s="137"/>
      <c r="B107" s="114" t="s">
        <v>186</v>
      </c>
      <c r="C107" s="133" t="s">
        <v>198</v>
      </c>
      <c r="D107" s="174" t="s">
        <v>173</v>
      </c>
      <c r="E107" s="209"/>
      <c r="F107" s="186"/>
      <c r="G107" s="210" t="s">
        <v>184</v>
      </c>
      <c r="H107" s="211"/>
      <c r="I107" s="180" t="s">
        <v>201</v>
      </c>
      <c r="J107" s="175"/>
      <c r="K107" s="175"/>
      <c r="L107" s="175"/>
      <c r="M107" s="175"/>
      <c r="N107" s="175"/>
      <c r="O107" s="176"/>
      <c r="P107" s="177">
        <v>46226</v>
      </c>
      <c r="Q107" s="178"/>
    </row>
    <row r="108" spans="1:17" ht="39" customHeight="1" x14ac:dyDescent="0.25">
      <c r="A108" s="139">
        <v>46226</v>
      </c>
      <c r="B108" s="114" t="s">
        <v>175</v>
      </c>
      <c r="C108" s="133" t="s">
        <v>176</v>
      </c>
      <c r="D108" s="174" t="s">
        <v>177</v>
      </c>
      <c r="E108" s="209"/>
      <c r="F108" s="186"/>
      <c r="G108" s="210" t="s">
        <v>178</v>
      </c>
      <c r="H108" s="211"/>
      <c r="I108" s="174" t="s">
        <v>179</v>
      </c>
      <c r="J108" s="209"/>
      <c r="K108" s="209"/>
      <c r="L108" s="209"/>
      <c r="M108" s="209"/>
      <c r="N108" s="209"/>
      <c r="O108" s="186"/>
      <c r="P108" s="177" t="s">
        <v>180</v>
      </c>
      <c r="Q108" s="178"/>
    </row>
    <row r="109" spans="1:17" ht="23" x14ac:dyDescent="0.25">
      <c r="A109" s="137"/>
      <c r="B109" s="114" t="s">
        <v>82</v>
      </c>
      <c r="C109" s="133" t="s">
        <v>83</v>
      </c>
      <c r="D109" s="174" t="s">
        <v>173</v>
      </c>
      <c r="E109" s="209"/>
      <c r="F109" s="186"/>
      <c r="G109" s="212" t="s">
        <v>117</v>
      </c>
      <c r="H109" s="213"/>
      <c r="I109" s="180" t="s">
        <v>199</v>
      </c>
      <c r="J109" s="175"/>
      <c r="K109" s="175"/>
      <c r="L109" s="175"/>
      <c r="M109" s="175"/>
      <c r="N109" s="175"/>
      <c r="O109" s="176"/>
      <c r="P109" s="177">
        <v>46226</v>
      </c>
      <c r="Q109" s="178"/>
    </row>
    <row r="110" spans="1:17" ht="23" x14ac:dyDescent="0.25">
      <c r="A110" s="137"/>
      <c r="B110" s="114" t="s">
        <v>181</v>
      </c>
      <c r="C110" s="133" t="s">
        <v>182</v>
      </c>
      <c r="D110" s="174" t="s">
        <v>183</v>
      </c>
      <c r="E110" s="209"/>
      <c r="F110" s="186"/>
      <c r="G110" s="210" t="s">
        <v>184</v>
      </c>
      <c r="H110" s="211"/>
      <c r="I110" s="180" t="s">
        <v>202</v>
      </c>
      <c r="J110" s="175"/>
      <c r="K110" s="175"/>
      <c r="L110" s="175"/>
      <c r="M110" s="175"/>
      <c r="N110" s="175"/>
      <c r="O110" s="176"/>
      <c r="P110" s="177">
        <v>46232</v>
      </c>
      <c r="Q110" s="178"/>
    </row>
    <row r="111" spans="1:17" ht="46.5" customHeight="1" x14ac:dyDescent="0.25">
      <c r="A111" s="137"/>
      <c r="B111" s="114" t="s">
        <v>186</v>
      </c>
      <c r="C111" s="133" t="s">
        <v>200</v>
      </c>
      <c r="D111" s="174" t="s">
        <v>203</v>
      </c>
      <c r="E111" s="209"/>
      <c r="F111" s="186"/>
      <c r="G111" s="212" t="s">
        <v>191</v>
      </c>
      <c r="H111" s="213"/>
      <c r="I111" s="174" t="s">
        <v>192</v>
      </c>
      <c r="J111" s="209"/>
      <c r="K111" s="209"/>
      <c r="L111" s="209"/>
      <c r="M111" s="209"/>
      <c r="N111" s="209"/>
      <c r="O111" s="186"/>
      <c r="P111" s="177">
        <v>46234</v>
      </c>
      <c r="Q111" s="178"/>
    </row>
    <row r="112" spans="1:17" ht="34.5" x14ac:dyDescent="0.25">
      <c r="A112" s="137"/>
      <c r="B112" s="114" t="s">
        <v>186</v>
      </c>
      <c r="C112" s="133" t="s">
        <v>198</v>
      </c>
      <c r="D112" s="174" t="s">
        <v>173</v>
      </c>
      <c r="E112" s="209"/>
      <c r="F112" s="186"/>
      <c r="G112" s="210" t="s">
        <v>184</v>
      </c>
      <c r="H112" s="211"/>
      <c r="I112" s="180" t="s">
        <v>201</v>
      </c>
      <c r="J112" s="175"/>
      <c r="K112" s="175"/>
      <c r="L112" s="175"/>
      <c r="M112" s="175"/>
      <c r="N112" s="175"/>
      <c r="O112" s="176"/>
      <c r="P112" s="177">
        <v>46227</v>
      </c>
      <c r="Q112" s="178"/>
    </row>
    <row r="113" spans="1:61" ht="38.25" customHeight="1" x14ac:dyDescent="0.25">
      <c r="A113" s="139">
        <v>46225</v>
      </c>
      <c r="B113" s="114" t="s">
        <v>175</v>
      </c>
      <c r="C113" s="133" t="s">
        <v>176</v>
      </c>
      <c r="D113" s="174" t="s">
        <v>204</v>
      </c>
      <c r="E113" s="209"/>
      <c r="F113" s="186"/>
      <c r="G113" s="210" t="s">
        <v>178</v>
      </c>
      <c r="H113" s="211"/>
      <c r="I113" s="180" t="s">
        <v>205</v>
      </c>
      <c r="J113" s="175"/>
      <c r="K113" s="175"/>
      <c r="L113" s="175"/>
      <c r="M113" s="175"/>
      <c r="N113" s="175"/>
      <c r="O113" s="176"/>
      <c r="P113" s="177" t="s">
        <v>180</v>
      </c>
      <c r="Q113" s="178"/>
    </row>
    <row r="114" spans="1:61" ht="23" x14ac:dyDescent="0.25">
      <c r="A114" s="137"/>
      <c r="B114" s="114" t="s">
        <v>82</v>
      </c>
      <c r="C114" s="133" t="s">
        <v>83</v>
      </c>
      <c r="D114" s="174" t="s">
        <v>206</v>
      </c>
      <c r="E114" s="209"/>
      <c r="F114" s="186"/>
      <c r="G114" s="212" t="s">
        <v>117</v>
      </c>
      <c r="H114" s="213"/>
      <c r="I114" s="180" t="s">
        <v>207</v>
      </c>
      <c r="J114" s="175"/>
      <c r="K114" s="175"/>
      <c r="L114" s="175"/>
      <c r="M114" s="175"/>
      <c r="N114" s="175"/>
      <c r="O114" s="176"/>
      <c r="P114" s="177">
        <v>46226</v>
      </c>
      <c r="Q114" s="178"/>
    </row>
    <row r="115" spans="1:61" ht="23" x14ac:dyDescent="0.25">
      <c r="A115" s="137"/>
      <c r="B115" s="114" t="s">
        <v>181</v>
      </c>
      <c r="C115" s="133" t="s">
        <v>182</v>
      </c>
      <c r="D115" s="174" t="s">
        <v>183</v>
      </c>
      <c r="E115" s="209"/>
      <c r="F115" s="186"/>
      <c r="G115" s="210" t="s">
        <v>184</v>
      </c>
      <c r="H115" s="211"/>
      <c r="I115" s="180" t="s">
        <v>202</v>
      </c>
      <c r="J115" s="175"/>
      <c r="K115" s="175"/>
      <c r="L115" s="175"/>
      <c r="M115" s="175"/>
      <c r="N115" s="175"/>
      <c r="O115" s="176"/>
      <c r="P115" s="177">
        <v>46226</v>
      </c>
      <c r="Q115" s="178"/>
    </row>
    <row r="116" spans="1:61" ht="23" x14ac:dyDescent="0.25">
      <c r="A116" s="137"/>
      <c r="B116" s="114" t="s">
        <v>186</v>
      </c>
      <c r="C116" s="133" t="s">
        <v>200</v>
      </c>
      <c r="D116" s="174" t="s">
        <v>190</v>
      </c>
      <c r="E116" s="209"/>
      <c r="F116" s="186"/>
      <c r="G116" s="212" t="s">
        <v>191</v>
      </c>
      <c r="H116" s="213"/>
      <c r="I116" s="174" t="s">
        <v>192</v>
      </c>
      <c r="J116" s="209"/>
      <c r="K116" s="209"/>
      <c r="L116" s="209"/>
      <c r="M116" s="209"/>
      <c r="N116" s="209"/>
      <c r="O116" s="186"/>
      <c r="P116" s="177">
        <v>46234</v>
      </c>
      <c r="Q116" s="178"/>
    </row>
    <row r="117" spans="1:61" ht="34.5" x14ac:dyDescent="0.25">
      <c r="A117" s="137"/>
      <c r="B117" s="114" t="s">
        <v>186</v>
      </c>
      <c r="C117" s="133" t="s">
        <v>198</v>
      </c>
      <c r="D117" s="174" t="s">
        <v>208</v>
      </c>
      <c r="E117" s="209"/>
      <c r="F117" s="186"/>
      <c r="G117" s="210" t="s">
        <v>184</v>
      </c>
      <c r="H117" s="211"/>
      <c r="I117" s="180" t="s">
        <v>202</v>
      </c>
      <c r="J117" s="175"/>
      <c r="K117" s="175"/>
      <c r="L117" s="175"/>
      <c r="M117" s="175"/>
      <c r="N117" s="175"/>
      <c r="O117" s="176"/>
      <c r="P117" s="177">
        <v>46226</v>
      </c>
      <c r="Q117" s="178"/>
    </row>
    <row r="118" spans="1:61" ht="28.5" customHeight="1" x14ac:dyDescent="0.25">
      <c r="A118" s="139">
        <v>46224</v>
      </c>
      <c r="B118" s="114" t="s">
        <v>209</v>
      </c>
      <c r="C118" s="133" t="s">
        <v>210</v>
      </c>
      <c r="D118" s="174" t="s">
        <v>211</v>
      </c>
      <c r="E118" s="209"/>
      <c r="F118" s="186"/>
      <c r="G118" s="210" t="s">
        <v>212</v>
      </c>
      <c r="H118" s="211"/>
      <c r="I118" s="180" t="s">
        <v>213</v>
      </c>
      <c r="J118" s="175"/>
      <c r="K118" s="175"/>
      <c r="L118" s="175"/>
      <c r="M118" s="175"/>
      <c r="N118" s="175"/>
      <c r="O118" s="176"/>
      <c r="P118" s="177">
        <v>46226</v>
      </c>
      <c r="Q118" s="178"/>
      <c r="BI118" s="132"/>
    </row>
    <row r="119" spans="1:61" ht="30" customHeight="1" x14ac:dyDescent="0.25">
      <c r="A119" s="137"/>
      <c r="B119" s="114" t="s">
        <v>175</v>
      </c>
      <c r="C119" s="133" t="s">
        <v>176</v>
      </c>
      <c r="D119" s="174" t="s">
        <v>204</v>
      </c>
      <c r="E119" s="209"/>
      <c r="F119" s="186"/>
      <c r="G119" s="210" t="s">
        <v>178</v>
      </c>
      <c r="H119" s="211"/>
      <c r="I119" s="180" t="s">
        <v>205</v>
      </c>
      <c r="J119" s="175"/>
      <c r="K119" s="175"/>
      <c r="L119" s="175"/>
      <c r="M119" s="175"/>
      <c r="N119" s="175"/>
      <c r="O119" s="176"/>
      <c r="P119" s="177" t="s">
        <v>180</v>
      </c>
      <c r="Q119" s="178"/>
    </row>
    <row r="120" spans="1:61" ht="27" customHeight="1" x14ac:dyDescent="0.25">
      <c r="A120" s="137"/>
      <c r="B120" s="114" t="s">
        <v>82</v>
      </c>
      <c r="C120" s="133" t="s">
        <v>83</v>
      </c>
      <c r="D120" s="174" t="s">
        <v>206</v>
      </c>
      <c r="E120" s="209"/>
      <c r="F120" s="186"/>
      <c r="G120" s="212" t="s">
        <v>117</v>
      </c>
      <c r="H120" s="213"/>
      <c r="I120" s="180" t="s">
        <v>207</v>
      </c>
      <c r="J120" s="175"/>
      <c r="K120" s="175"/>
      <c r="L120" s="175"/>
      <c r="M120" s="175"/>
      <c r="N120" s="175"/>
      <c r="O120" s="176"/>
      <c r="P120" s="177">
        <v>46226</v>
      </c>
      <c r="Q120" s="178"/>
    </row>
    <row r="121" spans="1:61" ht="43.5" customHeight="1" x14ac:dyDescent="0.25">
      <c r="A121" s="137"/>
      <c r="B121" s="114" t="s">
        <v>186</v>
      </c>
      <c r="C121" s="133" t="s">
        <v>214</v>
      </c>
      <c r="D121" s="174" t="s">
        <v>215</v>
      </c>
      <c r="E121" s="209"/>
      <c r="F121" s="186"/>
      <c r="G121" s="212" t="s">
        <v>216</v>
      </c>
      <c r="H121" s="213"/>
      <c r="I121" s="180" t="s">
        <v>217</v>
      </c>
      <c r="J121" s="175"/>
      <c r="K121" s="175"/>
      <c r="L121" s="175"/>
      <c r="M121" s="175"/>
      <c r="N121" s="175"/>
      <c r="O121" s="176"/>
      <c r="P121" s="177">
        <v>46234</v>
      </c>
      <c r="Q121" s="178"/>
    </row>
    <row r="122" spans="1:61" ht="29.25" customHeight="1" x14ac:dyDescent="0.25">
      <c r="A122" s="137"/>
      <c r="B122" s="114" t="s">
        <v>181</v>
      </c>
      <c r="C122" s="133" t="s">
        <v>73</v>
      </c>
      <c r="D122" s="174" t="s">
        <v>183</v>
      </c>
      <c r="E122" s="209"/>
      <c r="F122" s="186"/>
      <c r="G122" s="210" t="s">
        <v>184</v>
      </c>
      <c r="H122" s="211"/>
      <c r="I122" s="180" t="s">
        <v>202</v>
      </c>
      <c r="J122" s="175"/>
      <c r="K122" s="175"/>
      <c r="L122" s="175"/>
      <c r="M122" s="175"/>
      <c r="N122" s="175"/>
      <c r="O122" s="176"/>
      <c r="P122" s="177">
        <v>46226</v>
      </c>
      <c r="Q122" s="178"/>
    </row>
    <row r="123" spans="1:61" ht="36.75" customHeight="1" x14ac:dyDescent="0.25">
      <c r="A123" s="139">
        <v>46223</v>
      </c>
      <c r="B123" s="114" t="s">
        <v>209</v>
      </c>
      <c r="C123" s="133" t="s">
        <v>210</v>
      </c>
      <c r="D123" s="174" t="s">
        <v>211</v>
      </c>
      <c r="E123" s="209"/>
      <c r="F123" s="186"/>
      <c r="G123" s="210" t="s">
        <v>212</v>
      </c>
      <c r="H123" s="211"/>
      <c r="I123" s="180" t="s">
        <v>213</v>
      </c>
      <c r="J123" s="175"/>
      <c r="K123" s="175"/>
      <c r="L123" s="175"/>
      <c r="M123" s="175"/>
      <c r="N123" s="175"/>
      <c r="O123" s="176"/>
      <c r="P123" s="177">
        <v>46226</v>
      </c>
      <c r="Q123" s="178"/>
      <c r="BI123" s="132"/>
    </row>
    <row r="124" spans="1:61" ht="36.75" customHeight="1" x14ac:dyDescent="0.25">
      <c r="A124" s="137"/>
      <c r="B124" s="114" t="s">
        <v>175</v>
      </c>
      <c r="C124" s="133" t="s">
        <v>176</v>
      </c>
      <c r="D124" s="174" t="s">
        <v>218</v>
      </c>
      <c r="E124" s="209"/>
      <c r="F124" s="186"/>
      <c r="G124" s="210" t="s">
        <v>178</v>
      </c>
      <c r="H124" s="211"/>
      <c r="I124" s="180" t="s">
        <v>205</v>
      </c>
      <c r="J124" s="175"/>
      <c r="K124" s="175"/>
      <c r="L124" s="175"/>
      <c r="M124" s="175"/>
      <c r="N124" s="175"/>
      <c r="O124" s="176"/>
      <c r="P124" s="177">
        <v>46228</v>
      </c>
      <c r="Q124" s="178"/>
    </row>
    <row r="125" spans="1:61" ht="35.25" customHeight="1" x14ac:dyDescent="0.25">
      <c r="A125" s="137"/>
      <c r="B125" s="114" t="s">
        <v>194</v>
      </c>
      <c r="C125" s="133" t="s">
        <v>219</v>
      </c>
      <c r="D125" s="174" t="s">
        <v>206</v>
      </c>
      <c r="E125" s="209"/>
      <c r="F125" s="186"/>
      <c r="G125" s="212" t="s">
        <v>184</v>
      </c>
      <c r="H125" s="213"/>
      <c r="I125" s="180" t="s">
        <v>202</v>
      </c>
      <c r="J125" s="175"/>
      <c r="K125" s="175"/>
      <c r="L125" s="175"/>
      <c r="M125" s="175"/>
      <c r="N125" s="175"/>
      <c r="O125" s="176"/>
      <c r="P125" s="177">
        <v>46226</v>
      </c>
      <c r="Q125" s="178"/>
    </row>
    <row r="126" spans="1:61" ht="35.25" customHeight="1" x14ac:dyDescent="0.25">
      <c r="A126" s="137"/>
      <c r="B126" s="114" t="s">
        <v>82</v>
      </c>
      <c r="C126" s="133" t="s">
        <v>83</v>
      </c>
      <c r="D126" s="174" t="s">
        <v>206</v>
      </c>
      <c r="E126" s="209"/>
      <c r="F126" s="186"/>
      <c r="G126" s="212" t="s">
        <v>117</v>
      </c>
      <c r="H126" s="213"/>
      <c r="I126" s="180" t="s">
        <v>207</v>
      </c>
      <c r="J126" s="175"/>
      <c r="K126" s="175"/>
      <c r="L126" s="175"/>
      <c r="M126" s="175"/>
      <c r="N126" s="175"/>
      <c r="O126" s="176"/>
      <c r="P126" s="177">
        <v>46226</v>
      </c>
      <c r="Q126" s="178"/>
    </row>
    <row r="127" spans="1:61" ht="36.75" customHeight="1" x14ac:dyDescent="0.25">
      <c r="A127" s="137"/>
      <c r="B127" s="114" t="s">
        <v>186</v>
      </c>
      <c r="C127" s="133" t="s">
        <v>220</v>
      </c>
      <c r="D127" s="180" t="s">
        <v>206</v>
      </c>
      <c r="E127" s="175"/>
      <c r="F127" s="176"/>
      <c r="G127" s="212" t="s">
        <v>184</v>
      </c>
      <c r="H127" s="213"/>
      <c r="I127" s="180" t="s">
        <v>221</v>
      </c>
      <c r="J127" s="175"/>
      <c r="K127" s="175"/>
      <c r="L127" s="175"/>
      <c r="M127" s="175"/>
      <c r="N127" s="175"/>
      <c r="O127" s="176"/>
      <c r="P127" s="177">
        <v>46226</v>
      </c>
      <c r="Q127" s="178"/>
    </row>
    <row r="128" spans="1:61" ht="30.75" customHeight="1" x14ac:dyDescent="0.25">
      <c r="A128" s="137"/>
      <c r="B128" s="114" t="s">
        <v>181</v>
      </c>
      <c r="C128" s="133" t="s">
        <v>73</v>
      </c>
      <c r="D128" s="174" t="s">
        <v>206</v>
      </c>
      <c r="E128" s="209"/>
      <c r="F128" s="186"/>
      <c r="G128" s="210" t="s">
        <v>184</v>
      </c>
      <c r="H128" s="211"/>
      <c r="I128" s="180" t="s">
        <v>202</v>
      </c>
      <c r="J128" s="175"/>
      <c r="K128" s="175"/>
      <c r="L128" s="175"/>
      <c r="M128" s="175"/>
      <c r="N128" s="175"/>
      <c r="O128" s="176"/>
      <c r="P128" s="177">
        <v>46226</v>
      </c>
      <c r="Q128" s="178"/>
    </row>
    <row r="129" spans="1:27" ht="29.25" customHeight="1" x14ac:dyDescent="0.25">
      <c r="A129" s="184">
        <v>46222</v>
      </c>
      <c r="B129" s="114" t="s">
        <v>209</v>
      </c>
      <c r="C129" s="133" t="s">
        <v>210</v>
      </c>
      <c r="D129" s="187" t="s">
        <v>206</v>
      </c>
      <c r="E129" s="214"/>
      <c r="F129" s="215"/>
      <c r="G129" s="210" t="s">
        <v>212</v>
      </c>
      <c r="H129" s="211"/>
      <c r="I129" s="180" t="s">
        <v>213</v>
      </c>
      <c r="J129" s="175"/>
      <c r="K129" s="175"/>
      <c r="L129" s="175"/>
      <c r="M129" s="175"/>
      <c r="N129" s="175"/>
      <c r="O129" s="176"/>
      <c r="P129" s="177">
        <v>46226</v>
      </c>
      <c r="Q129" s="178"/>
    </row>
    <row r="130" spans="1:27" ht="27.75" customHeight="1" x14ac:dyDescent="0.25">
      <c r="A130" s="185"/>
      <c r="B130" s="114" t="s">
        <v>222</v>
      </c>
      <c r="C130" s="133" t="s">
        <v>223</v>
      </c>
      <c r="D130" s="174" t="s">
        <v>206</v>
      </c>
      <c r="E130" s="209"/>
      <c r="F130" s="186"/>
      <c r="G130" s="210" t="s">
        <v>178</v>
      </c>
      <c r="H130" s="211"/>
      <c r="I130" s="180" t="s">
        <v>224</v>
      </c>
      <c r="J130" s="175"/>
      <c r="K130" s="175"/>
      <c r="L130" s="175"/>
      <c r="M130" s="175"/>
      <c r="N130" s="175"/>
      <c r="O130" s="176"/>
      <c r="P130" s="177">
        <v>46226</v>
      </c>
      <c r="Q130" s="178"/>
    </row>
    <row r="131" spans="1:27" ht="33" customHeight="1" x14ac:dyDescent="0.25">
      <c r="A131" s="137"/>
      <c r="B131" s="114" t="s">
        <v>175</v>
      </c>
      <c r="C131" s="133" t="s">
        <v>176</v>
      </c>
      <c r="D131" s="187" t="s">
        <v>206</v>
      </c>
      <c r="E131" s="214"/>
      <c r="F131" s="215"/>
      <c r="G131" s="210" t="s">
        <v>178</v>
      </c>
      <c r="H131" s="211"/>
      <c r="I131" s="180" t="s">
        <v>202</v>
      </c>
      <c r="J131" s="175"/>
      <c r="K131" s="175"/>
      <c r="L131" s="175"/>
      <c r="M131" s="175"/>
      <c r="N131" s="175"/>
      <c r="O131" s="176"/>
      <c r="P131" s="177">
        <v>46226</v>
      </c>
      <c r="Q131" s="178"/>
    </row>
    <row r="132" spans="1:27" ht="33" customHeight="1" x14ac:dyDescent="0.25">
      <c r="A132" s="137"/>
      <c r="B132" s="114" t="s">
        <v>225</v>
      </c>
      <c r="C132" s="133" t="s">
        <v>226</v>
      </c>
      <c r="D132" s="174" t="s">
        <v>227</v>
      </c>
      <c r="E132" s="209"/>
      <c r="F132" s="186"/>
      <c r="G132" s="212" t="s">
        <v>228</v>
      </c>
      <c r="H132" s="213"/>
      <c r="I132" s="180" t="s">
        <v>229</v>
      </c>
      <c r="J132" s="175"/>
      <c r="K132" s="175"/>
      <c r="L132" s="175"/>
      <c r="M132" s="175"/>
      <c r="N132" s="175"/>
      <c r="O132" s="176"/>
      <c r="P132" s="177">
        <v>46233</v>
      </c>
      <c r="Q132" s="178"/>
    </row>
    <row r="133" spans="1:27" ht="33" customHeight="1" x14ac:dyDescent="0.25">
      <c r="A133" s="137"/>
      <c r="B133" s="114" t="s">
        <v>16</v>
      </c>
      <c r="C133" s="133" t="s">
        <v>230</v>
      </c>
      <c r="D133" s="174" t="s">
        <v>206</v>
      </c>
      <c r="E133" s="209"/>
      <c r="F133" s="186"/>
      <c r="G133" s="210" t="s">
        <v>184</v>
      </c>
      <c r="H133" s="211"/>
      <c r="I133" s="180" t="s">
        <v>231</v>
      </c>
      <c r="J133" s="175"/>
      <c r="K133" s="175"/>
      <c r="L133" s="175"/>
      <c r="M133" s="175"/>
      <c r="N133" s="175"/>
      <c r="O133" s="176"/>
      <c r="P133" s="177">
        <v>46226</v>
      </c>
      <c r="Q133" s="178"/>
    </row>
    <row r="134" spans="1:27" ht="33" customHeight="1" x14ac:dyDescent="0.25">
      <c r="A134" s="137"/>
      <c r="B134" s="114" t="s">
        <v>194</v>
      </c>
      <c r="C134" s="133" t="s">
        <v>219</v>
      </c>
      <c r="D134" s="174" t="s">
        <v>206</v>
      </c>
      <c r="E134" s="209"/>
      <c r="F134" s="186"/>
      <c r="G134" s="212" t="s">
        <v>184</v>
      </c>
      <c r="H134" s="213"/>
      <c r="I134" s="180" t="s">
        <v>202</v>
      </c>
      <c r="J134" s="175"/>
      <c r="K134" s="175"/>
      <c r="L134" s="175"/>
      <c r="M134" s="175"/>
      <c r="N134" s="175"/>
      <c r="O134" s="176"/>
      <c r="P134" s="177">
        <v>46226</v>
      </c>
      <c r="Q134" s="178"/>
    </row>
    <row r="135" spans="1:27" ht="22.5" customHeight="1" x14ac:dyDescent="0.25">
      <c r="A135" s="137"/>
      <c r="B135" s="114" t="s">
        <v>194</v>
      </c>
      <c r="C135" s="133" t="s">
        <v>232</v>
      </c>
      <c r="D135" s="174" t="s">
        <v>233</v>
      </c>
      <c r="E135" s="209"/>
      <c r="F135" s="186"/>
      <c r="G135" s="212" t="s">
        <v>184</v>
      </c>
      <c r="H135" s="213"/>
      <c r="I135" s="174" t="s">
        <v>234</v>
      </c>
      <c r="J135" s="209"/>
      <c r="K135" s="209"/>
      <c r="L135" s="209"/>
      <c r="M135" s="209"/>
      <c r="N135" s="209"/>
      <c r="O135" s="186"/>
      <c r="P135" s="177">
        <v>46224</v>
      </c>
      <c r="Q135" s="178"/>
      <c r="AA135" s="113"/>
    </row>
    <row r="136" spans="1:27" ht="33" customHeight="1" x14ac:dyDescent="0.25">
      <c r="A136" s="137"/>
      <c r="B136" s="114" t="s">
        <v>82</v>
      </c>
      <c r="C136" s="133" t="s">
        <v>83</v>
      </c>
      <c r="D136" s="174" t="s">
        <v>206</v>
      </c>
      <c r="E136" s="209"/>
      <c r="F136" s="186"/>
      <c r="G136" s="212" t="s">
        <v>117</v>
      </c>
      <c r="H136" s="213"/>
      <c r="I136" s="180" t="s">
        <v>207</v>
      </c>
      <c r="J136" s="175"/>
      <c r="K136" s="175"/>
      <c r="L136" s="175"/>
      <c r="M136" s="175"/>
      <c r="N136" s="175"/>
      <c r="O136" s="176"/>
      <c r="P136" s="177">
        <v>46226</v>
      </c>
      <c r="Q136" s="178"/>
    </row>
    <row r="137" spans="1:27" ht="33" customHeight="1" x14ac:dyDescent="0.25">
      <c r="A137" s="137"/>
      <c r="B137" s="114" t="s">
        <v>186</v>
      </c>
      <c r="C137" s="133" t="s">
        <v>220</v>
      </c>
      <c r="D137" s="180" t="s">
        <v>206</v>
      </c>
      <c r="E137" s="175"/>
      <c r="F137" s="176"/>
      <c r="G137" s="212" t="s">
        <v>184</v>
      </c>
      <c r="H137" s="213"/>
      <c r="I137" s="180" t="s">
        <v>221</v>
      </c>
      <c r="J137" s="175"/>
      <c r="K137" s="175"/>
      <c r="L137" s="175"/>
      <c r="M137" s="175"/>
      <c r="N137" s="175"/>
      <c r="O137" s="176"/>
      <c r="P137" s="177">
        <v>46226</v>
      </c>
      <c r="Q137" s="178"/>
    </row>
    <row r="138" spans="1:27" ht="33" customHeight="1" x14ac:dyDescent="0.25">
      <c r="A138" s="137"/>
      <c r="B138" s="114" t="s">
        <v>181</v>
      </c>
      <c r="C138" s="133" t="s">
        <v>235</v>
      </c>
      <c r="D138" s="174" t="s">
        <v>206</v>
      </c>
      <c r="E138" s="209"/>
      <c r="F138" s="186"/>
      <c r="G138" s="210" t="s">
        <v>184</v>
      </c>
      <c r="H138" s="211"/>
      <c r="I138" s="180" t="s">
        <v>202</v>
      </c>
      <c r="J138" s="175"/>
      <c r="K138" s="175"/>
      <c r="L138" s="175"/>
      <c r="M138" s="175"/>
      <c r="N138" s="175"/>
      <c r="O138" s="176"/>
      <c r="P138" s="177">
        <v>46226</v>
      </c>
      <c r="Q138" s="178"/>
    </row>
    <row r="139" spans="1:27" ht="33" customHeight="1" x14ac:dyDescent="0.25">
      <c r="A139" s="184">
        <v>46219</v>
      </c>
      <c r="B139" s="114" t="s">
        <v>209</v>
      </c>
      <c r="C139" s="133" t="s">
        <v>210</v>
      </c>
      <c r="D139" s="187" t="s">
        <v>206</v>
      </c>
      <c r="E139" s="214"/>
      <c r="F139" s="215"/>
      <c r="G139" s="210" t="s">
        <v>212</v>
      </c>
      <c r="H139" s="211"/>
      <c r="I139" s="180" t="s">
        <v>236</v>
      </c>
      <c r="J139" s="175"/>
      <c r="K139" s="175"/>
      <c r="L139" s="175"/>
      <c r="M139" s="175"/>
      <c r="N139" s="175"/>
      <c r="O139" s="176"/>
      <c r="P139" s="177">
        <v>46226</v>
      </c>
      <c r="Q139" s="178"/>
    </row>
    <row r="140" spans="1:27" ht="33" customHeight="1" x14ac:dyDescent="0.25">
      <c r="A140" s="185"/>
      <c r="B140" s="114" t="s">
        <v>222</v>
      </c>
      <c r="C140" s="133" t="s">
        <v>223</v>
      </c>
      <c r="D140" s="174" t="s">
        <v>206</v>
      </c>
      <c r="E140" s="209"/>
      <c r="F140" s="186"/>
      <c r="G140" s="210" t="s">
        <v>178</v>
      </c>
      <c r="H140" s="211"/>
      <c r="I140" s="180" t="s">
        <v>237</v>
      </c>
      <c r="J140" s="175"/>
      <c r="K140" s="175"/>
      <c r="L140" s="175"/>
      <c r="M140" s="175"/>
      <c r="N140" s="175"/>
      <c r="O140" s="176"/>
      <c r="P140" s="177">
        <v>46226</v>
      </c>
      <c r="Q140" s="178"/>
    </row>
    <row r="141" spans="1:27" ht="33" customHeight="1" x14ac:dyDescent="0.25">
      <c r="A141" s="137"/>
      <c r="B141" s="114" t="s">
        <v>175</v>
      </c>
      <c r="C141" s="133" t="s">
        <v>176</v>
      </c>
      <c r="D141" s="187" t="s">
        <v>206</v>
      </c>
      <c r="E141" s="214"/>
      <c r="F141" s="215"/>
      <c r="G141" s="210" t="s">
        <v>178</v>
      </c>
      <c r="H141" s="211"/>
      <c r="I141" s="180" t="s">
        <v>202</v>
      </c>
      <c r="J141" s="175"/>
      <c r="K141" s="175"/>
      <c r="L141" s="175"/>
      <c r="M141" s="175"/>
      <c r="N141" s="175"/>
      <c r="O141" s="176"/>
      <c r="P141" s="177">
        <v>46226</v>
      </c>
      <c r="Q141" s="178"/>
    </row>
    <row r="142" spans="1:27" ht="33" customHeight="1" x14ac:dyDescent="0.25">
      <c r="A142" s="137"/>
      <c r="B142" s="114" t="s">
        <v>16</v>
      </c>
      <c r="C142" s="133" t="s">
        <v>230</v>
      </c>
      <c r="D142" s="174" t="s">
        <v>206</v>
      </c>
      <c r="E142" s="209"/>
      <c r="F142" s="186"/>
      <c r="G142" s="210" t="s">
        <v>184</v>
      </c>
      <c r="H142" s="211"/>
      <c r="I142" s="180" t="s">
        <v>231</v>
      </c>
      <c r="J142" s="175"/>
      <c r="K142" s="175"/>
      <c r="L142" s="175"/>
      <c r="M142" s="175"/>
      <c r="N142" s="175"/>
      <c r="O142" s="176"/>
      <c r="P142" s="177">
        <v>46226</v>
      </c>
      <c r="Q142" s="178"/>
    </row>
    <row r="143" spans="1:27" ht="33" customHeight="1" x14ac:dyDescent="0.25">
      <c r="A143" s="137"/>
      <c r="B143" s="114" t="s">
        <v>194</v>
      </c>
      <c r="C143" s="133" t="s">
        <v>238</v>
      </c>
      <c r="D143" s="179" t="s">
        <v>239</v>
      </c>
      <c r="E143" s="188"/>
      <c r="F143" s="189"/>
      <c r="G143" s="212" t="s">
        <v>184</v>
      </c>
      <c r="H143" s="213"/>
      <c r="I143" s="174" t="s">
        <v>202</v>
      </c>
      <c r="J143" s="209"/>
      <c r="K143" s="209"/>
      <c r="L143" s="209"/>
      <c r="M143" s="209"/>
      <c r="N143" s="209"/>
      <c r="O143" s="186"/>
      <c r="P143" s="177">
        <v>46226</v>
      </c>
      <c r="Q143" s="178"/>
      <c r="AA143" s="113"/>
    </row>
    <row r="144" spans="1:27" ht="36" customHeight="1" x14ac:dyDescent="0.25">
      <c r="A144" s="137"/>
      <c r="B144" s="114" t="s">
        <v>194</v>
      </c>
      <c r="C144" s="133" t="s">
        <v>232</v>
      </c>
      <c r="D144" s="174" t="s">
        <v>233</v>
      </c>
      <c r="E144" s="209"/>
      <c r="F144" s="186"/>
      <c r="G144" s="212" t="s">
        <v>184</v>
      </c>
      <c r="H144" s="213"/>
      <c r="I144" s="174" t="s">
        <v>234</v>
      </c>
      <c r="J144" s="209"/>
      <c r="K144" s="209"/>
      <c r="L144" s="209"/>
      <c r="M144" s="209"/>
      <c r="N144" s="209"/>
      <c r="O144" s="186"/>
      <c r="P144" s="177">
        <v>46224</v>
      </c>
      <c r="Q144" s="178"/>
      <c r="AA144" s="113"/>
    </row>
    <row r="145" spans="1:17" ht="36" customHeight="1" x14ac:dyDescent="0.25">
      <c r="A145" s="137"/>
      <c r="B145" s="114" t="s">
        <v>82</v>
      </c>
      <c r="C145" s="133" t="s">
        <v>83</v>
      </c>
      <c r="D145" s="174" t="s">
        <v>206</v>
      </c>
      <c r="E145" s="209"/>
      <c r="F145" s="186"/>
      <c r="G145" s="212" t="s">
        <v>117</v>
      </c>
      <c r="H145" s="213"/>
      <c r="I145" s="180" t="s">
        <v>207</v>
      </c>
      <c r="J145" s="175"/>
      <c r="K145" s="175"/>
      <c r="L145" s="175"/>
      <c r="M145" s="175"/>
      <c r="N145" s="175"/>
      <c r="O145" s="176"/>
      <c r="P145" s="177">
        <v>46226</v>
      </c>
      <c r="Q145" s="178"/>
    </row>
    <row r="146" spans="1:17" ht="31.5" customHeight="1" x14ac:dyDescent="0.25">
      <c r="A146" s="137"/>
      <c r="B146" s="114" t="s">
        <v>186</v>
      </c>
      <c r="C146" s="133" t="s">
        <v>240</v>
      </c>
      <c r="D146" s="180"/>
      <c r="E146" s="175"/>
      <c r="F146" s="176"/>
      <c r="G146" s="212" t="s">
        <v>184</v>
      </c>
      <c r="H146" s="213"/>
      <c r="I146" s="180" t="s">
        <v>221</v>
      </c>
      <c r="J146" s="175"/>
      <c r="K146" s="175"/>
      <c r="L146" s="175"/>
      <c r="M146" s="175"/>
      <c r="N146" s="175"/>
      <c r="O146" s="176"/>
      <c r="P146" s="177">
        <v>46226</v>
      </c>
      <c r="Q146" s="178"/>
    </row>
    <row r="147" spans="1:17" ht="31.5" customHeight="1" x14ac:dyDescent="0.25">
      <c r="A147" s="143"/>
      <c r="B147" s="114" t="s">
        <v>181</v>
      </c>
      <c r="C147" s="133" t="s">
        <v>241</v>
      </c>
      <c r="D147" s="174" t="s">
        <v>206</v>
      </c>
      <c r="E147" s="209"/>
      <c r="F147" s="186"/>
      <c r="G147" s="210" t="s">
        <v>184</v>
      </c>
      <c r="H147" s="211"/>
      <c r="I147" s="180" t="s">
        <v>202</v>
      </c>
      <c r="J147" s="175"/>
      <c r="K147" s="175"/>
      <c r="L147" s="175"/>
      <c r="M147" s="175"/>
      <c r="N147" s="175"/>
      <c r="O147" s="176"/>
      <c r="P147" s="177">
        <v>46226</v>
      </c>
      <c r="Q147" s="178"/>
    </row>
  </sheetData>
  <mergeCells count="458">
    <mergeCell ref="D37:F37"/>
    <mergeCell ref="G37:H37"/>
    <mergeCell ref="I37:O37"/>
    <mergeCell ref="P37:Q37"/>
    <mergeCell ref="D38:F38"/>
    <mergeCell ref="G38:H38"/>
    <mergeCell ref="I38:O38"/>
    <mergeCell ref="P38:Q38"/>
    <mergeCell ref="D35:F35"/>
    <mergeCell ref="G35:H35"/>
    <mergeCell ref="I35:O35"/>
    <mergeCell ref="P35:Q35"/>
    <mergeCell ref="D36:F36"/>
    <mergeCell ref="G36:H36"/>
    <mergeCell ref="I36:O36"/>
    <mergeCell ref="P36:Q36"/>
    <mergeCell ref="D41:F41"/>
    <mergeCell ref="G41:H41"/>
    <mergeCell ref="I41:O41"/>
    <mergeCell ref="P41:Q41"/>
    <mergeCell ref="D42:F42"/>
    <mergeCell ref="G42:H42"/>
    <mergeCell ref="I42:O42"/>
    <mergeCell ref="P42:Q42"/>
    <mergeCell ref="D39:F39"/>
    <mergeCell ref="G39:H39"/>
    <mergeCell ref="I39:O39"/>
    <mergeCell ref="P39:Q39"/>
    <mergeCell ref="D40:F40"/>
    <mergeCell ref="G40:H40"/>
    <mergeCell ref="I40:O40"/>
    <mergeCell ref="P40:Q40"/>
    <mergeCell ref="D47:F47"/>
    <mergeCell ref="G47:H47"/>
    <mergeCell ref="I47:O47"/>
    <mergeCell ref="P47:Q47"/>
    <mergeCell ref="D50:F50"/>
    <mergeCell ref="G50:H50"/>
    <mergeCell ref="I50:O50"/>
    <mergeCell ref="P50:Q50"/>
    <mergeCell ref="D43:F43"/>
    <mergeCell ref="G43:H43"/>
    <mergeCell ref="I43:O43"/>
    <mergeCell ref="P43:Q43"/>
    <mergeCell ref="D44:F44"/>
    <mergeCell ref="G44:H44"/>
    <mergeCell ref="I44:O44"/>
    <mergeCell ref="P44:Q44"/>
    <mergeCell ref="D45:F45"/>
    <mergeCell ref="G45:H45"/>
    <mergeCell ref="I45:O45"/>
    <mergeCell ref="P45:Q45"/>
    <mergeCell ref="D46:F46"/>
    <mergeCell ref="G46:H46"/>
    <mergeCell ref="I46:O46"/>
    <mergeCell ref="P46:Q46"/>
    <mergeCell ref="D57:F57"/>
    <mergeCell ref="G57:H57"/>
    <mergeCell ref="I57:O57"/>
    <mergeCell ref="P57:Q57"/>
    <mergeCell ref="D58:F58"/>
    <mergeCell ref="G58:H58"/>
    <mergeCell ref="I58:O58"/>
    <mergeCell ref="P58:Q58"/>
    <mergeCell ref="D59:F59"/>
    <mergeCell ref="G59:H59"/>
    <mergeCell ref="I59:O59"/>
    <mergeCell ref="P59:Q59"/>
    <mergeCell ref="D54:F54"/>
    <mergeCell ref="G54:H54"/>
    <mergeCell ref="I54:O54"/>
    <mergeCell ref="P54:Q54"/>
    <mergeCell ref="D55:F55"/>
    <mergeCell ref="G55:H55"/>
    <mergeCell ref="I55:O55"/>
    <mergeCell ref="P55:Q55"/>
    <mergeCell ref="D56:F56"/>
    <mergeCell ref="G56:H56"/>
    <mergeCell ref="I56:O56"/>
    <mergeCell ref="P56:Q56"/>
    <mergeCell ref="D65:F65"/>
    <mergeCell ref="G65:H65"/>
    <mergeCell ref="I65:O65"/>
    <mergeCell ref="P65:Q65"/>
    <mergeCell ref="D62:F62"/>
    <mergeCell ref="G62:H62"/>
    <mergeCell ref="I62:O62"/>
    <mergeCell ref="P62:Q62"/>
    <mergeCell ref="D63:F63"/>
    <mergeCell ref="G63:H63"/>
    <mergeCell ref="I63:O63"/>
    <mergeCell ref="P63:Q63"/>
    <mergeCell ref="D64:F64"/>
    <mergeCell ref="G64:H64"/>
    <mergeCell ref="I64:O64"/>
    <mergeCell ref="P64:Q64"/>
    <mergeCell ref="D68:F68"/>
    <mergeCell ref="G68:H68"/>
    <mergeCell ref="I68:O68"/>
    <mergeCell ref="P68:Q68"/>
    <mergeCell ref="D69:F69"/>
    <mergeCell ref="G69:H69"/>
    <mergeCell ref="I69:O69"/>
    <mergeCell ref="P69:Q69"/>
    <mergeCell ref="D70:F70"/>
    <mergeCell ref="G70:H70"/>
    <mergeCell ref="I70:O70"/>
    <mergeCell ref="P70:Q70"/>
    <mergeCell ref="D79:F79"/>
    <mergeCell ref="G79:H79"/>
    <mergeCell ref="I79:O79"/>
    <mergeCell ref="P79:Q79"/>
    <mergeCell ref="D80:F80"/>
    <mergeCell ref="G80:H80"/>
    <mergeCell ref="I80:O80"/>
    <mergeCell ref="P80:Q80"/>
    <mergeCell ref="D76:F76"/>
    <mergeCell ref="G76:H76"/>
    <mergeCell ref="I76:O76"/>
    <mergeCell ref="P76:Q76"/>
    <mergeCell ref="D77:F77"/>
    <mergeCell ref="G77:H77"/>
    <mergeCell ref="I77:O77"/>
    <mergeCell ref="P77:Q77"/>
    <mergeCell ref="D78:F78"/>
    <mergeCell ref="G78:H78"/>
    <mergeCell ref="I78:O78"/>
    <mergeCell ref="P78:Q78"/>
    <mergeCell ref="G85:H85"/>
    <mergeCell ref="G86:H86"/>
    <mergeCell ref="I83:O83"/>
    <mergeCell ref="P83:Q83"/>
    <mergeCell ref="P84:Q84"/>
    <mergeCell ref="P85:Q85"/>
    <mergeCell ref="P86:Q86"/>
    <mergeCell ref="D86:F86"/>
    <mergeCell ref="D85:F85"/>
    <mergeCell ref="I85:O85"/>
    <mergeCell ref="I84:O84"/>
    <mergeCell ref="I86:O86"/>
    <mergeCell ref="D102:F102"/>
    <mergeCell ref="G102:H102"/>
    <mergeCell ref="I102:O102"/>
    <mergeCell ref="P102:Q102"/>
    <mergeCell ref="D97:F97"/>
    <mergeCell ref="G97:H97"/>
    <mergeCell ref="I97:O97"/>
    <mergeCell ref="P97:Q97"/>
    <mergeCell ref="D98:F98"/>
    <mergeCell ref="I98:O98"/>
    <mergeCell ref="G98:H98"/>
    <mergeCell ref="P98:Q98"/>
    <mergeCell ref="D99:F99"/>
    <mergeCell ref="G99:H99"/>
    <mergeCell ref="I99:O99"/>
    <mergeCell ref="P99:Q99"/>
    <mergeCell ref="D100:F100"/>
    <mergeCell ref="G100:H100"/>
    <mergeCell ref="I100:O100"/>
    <mergeCell ref="P100:Q100"/>
    <mergeCell ref="D101:F101"/>
    <mergeCell ref="G101:H101"/>
    <mergeCell ref="I101:O101"/>
    <mergeCell ref="P101:Q101"/>
    <mergeCell ref="D107:F107"/>
    <mergeCell ref="G107:H107"/>
    <mergeCell ref="I107:O107"/>
    <mergeCell ref="P107:Q107"/>
    <mergeCell ref="D104:F104"/>
    <mergeCell ref="G104:H104"/>
    <mergeCell ref="I104:O104"/>
    <mergeCell ref="P104:Q104"/>
    <mergeCell ref="D105:F105"/>
    <mergeCell ref="G105:H105"/>
    <mergeCell ref="I105:O105"/>
    <mergeCell ref="P105:Q105"/>
    <mergeCell ref="D103:F103"/>
    <mergeCell ref="G103:H103"/>
    <mergeCell ref="I103:O103"/>
    <mergeCell ref="P103:Q103"/>
    <mergeCell ref="D112:F112"/>
    <mergeCell ref="G112:H112"/>
    <mergeCell ref="I112:O112"/>
    <mergeCell ref="P112:Q112"/>
    <mergeCell ref="D116:F116"/>
    <mergeCell ref="G116:H116"/>
    <mergeCell ref="I116:O116"/>
    <mergeCell ref="P116:Q116"/>
    <mergeCell ref="D110:F110"/>
    <mergeCell ref="G110:H110"/>
    <mergeCell ref="I110:O110"/>
    <mergeCell ref="P110:Q110"/>
    <mergeCell ref="D111:F111"/>
    <mergeCell ref="G111:H111"/>
    <mergeCell ref="I111:O111"/>
    <mergeCell ref="P111:Q111"/>
    <mergeCell ref="D106:F106"/>
    <mergeCell ref="G106:H106"/>
    <mergeCell ref="I106:O106"/>
    <mergeCell ref="P106:Q106"/>
    <mergeCell ref="D117:F117"/>
    <mergeCell ref="G117:H117"/>
    <mergeCell ref="I117:O117"/>
    <mergeCell ref="P117:Q117"/>
    <mergeCell ref="D115:F115"/>
    <mergeCell ref="G115:H115"/>
    <mergeCell ref="I115:O115"/>
    <mergeCell ref="P115:Q115"/>
    <mergeCell ref="D108:F108"/>
    <mergeCell ref="G108:H108"/>
    <mergeCell ref="I108:O108"/>
    <mergeCell ref="P108:Q108"/>
    <mergeCell ref="D113:F113"/>
    <mergeCell ref="G113:H113"/>
    <mergeCell ref="I113:O113"/>
    <mergeCell ref="P113:Q113"/>
    <mergeCell ref="D114:F114"/>
    <mergeCell ref="G114:H114"/>
    <mergeCell ref="I114:O114"/>
    <mergeCell ref="P114:Q114"/>
    <mergeCell ref="D109:F109"/>
    <mergeCell ref="G109:H109"/>
    <mergeCell ref="I109:O109"/>
    <mergeCell ref="P109:Q109"/>
    <mergeCell ref="D131:F131"/>
    <mergeCell ref="D118:F118"/>
    <mergeCell ref="G118:H118"/>
    <mergeCell ref="I118:O118"/>
    <mergeCell ref="P118:Q118"/>
    <mergeCell ref="D119:F119"/>
    <mergeCell ref="G119:H119"/>
    <mergeCell ref="I119:O119"/>
    <mergeCell ref="P119:Q119"/>
    <mergeCell ref="D120:F120"/>
    <mergeCell ref="G120:H120"/>
    <mergeCell ref="I120:O120"/>
    <mergeCell ref="P130:Q130"/>
    <mergeCell ref="P131:Q131"/>
    <mergeCell ref="D124:F124"/>
    <mergeCell ref="G124:H124"/>
    <mergeCell ref="I124:O124"/>
    <mergeCell ref="D121:F121"/>
    <mergeCell ref="G121:H121"/>
    <mergeCell ref="I121:O121"/>
    <mergeCell ref="P123:Q123"/>
    <mergeCell ref="P124:Q124"/>
    <mergeCell ref="P120:Q120"/>
    <mergeCell ref="P121:Q121"/>
    <mergeCell ref="D135:F135"/>
    <mergeCell ref="D136:F136"/>
    <mergeCell ref="D137:F137"/>
    <mergeCell ref="D138:F138"/>
    <mergeCell ref="D139:F139"/>
    <mergeCell ref="D140:F140"/>
    <mergeCell ref="D141:F141"/>
    <mergeCell ref="D142:F142"/>
    <mergeCell ref="D143:F143"/>
    <mergeCell ref="D144:F144"/>
    <mergeCell ref="G145:H145"/>
    <mergeCell ref="G146:H146"/>
    <mergeCell ref="G147:H147"/>
    <mergeCell ref="D145:F145"/>
    <mergeCell ref="D146:F146"/>
    <mergeCell ref="D147:F147"/>
    <mergeCell ref="G140:H140"/>
    <mergeCell ref="G141:H141"/>
    <mergeCell ref="G142:H142"/>
    <mergeCell ref="G143:H143"/>
    <mergeCell ref="G144:H144"/>
    <mergeCell ref="P146:Q146"/>
    <mergeCell ref="G135:H135"/>
    <mergeCell ref="G136:H136"/>
    <mergeCell ref="G137:H137"/>
    <mergeCell ref="G138:H138"/>
    <mergeCell ref="G139:H139"/>
    <mergeCell ref="I146:O146"/>
    <mergeCell ref="I147:O147"/>
    <mergeCell ref="D126:F126"/>
    <mergeCell ref="D127:F127"/>
    <mergeCell ref="D128:F128"/>
    <mergeCell ref="D129:F129"/>
    <mergeCell ref="D130:F130"/>
    <mergeCell ref="G126:H126"/>
    <mergeCell ref="G127:H127"/>
    <mergeCell ref="G128:H128"/>
    <mergeCell ref="G129:H129"/>
    <mergeCell ref="G130:H130"/>
    <mergeCell ref="G131:H131"/>
    <mergeCell ref="G132:H132"/>
    <mergeCell ref="G133:H133"/>
    <mergeCell ref="G134:H134"/>
    <mergeCell ref="I141:O141"/>
    <mergeCell ref="I142:O142"/>
    <mergeCell ref="I144:O144"/>
    <mergeCell ref="I145:O145"/>
    <mergeCell ref="I136:O136"/>
    <mergeCell ref="I137:O137"/>
    <mergeCell ref="I138:O138"/>
    <mergeCell ref="I139:O139"/>
    <mergeCell ref="I140:O140"/>
    <mergeCell ref="P145:Q145"/>
    <mergeCell ref="I143:O143"/>
    <mergeCell ref="P147:Q147"/>
    <mergeCell ref="D125:F125"/>
    <mergeCell ref="G125:H125"/>
    <mergeCell ref="I125:O125"/>
    <mergeCell ref="I126:O126"/>
    <mergeCell ref="I127:O127"/>
    <mergeCell ref="I128:O128"/>
    <mergeCell ref="I129:O129"/>
    <mergeCell ref="I130:O130"/>
    <mergeCell ref="I131:O131"/>
    <mergeCell ref="I132:O132"/>
    <mergeCell ref="I133:O133"/>
    <mergeCell ref="I134:O134"/>
    <mergeCell ref="I135:O135"/>
    <mergeCell ref="P140:Q140"/>
    <mergeCell ref="P141:Q141"/>
    <mergeCell ref="P142:Q142"/>
    <mergeCell ref="P143:Q143"/>
    <mergeCell ref="P144:Q144"/>
    <mergeCell ref="P135:Q135"/>
    <mergeCell ref="P136:Q136"/>
    <mergeCell ref="P137:Q137"/>
    <mergeCell ref="P138:Q138"/>
    <mergeCell ref="P139:Q139"/>
    <mergeCell ref="D122:F122"/>
    <mergeCell ref="G122:H122"/>
    <mergeCell ref="I122:O122"/>
    <mergeCell ref="P122:Q122"/>
    <mergeCell ref="G123:H123"/>
    <mergeCell ref="G34:H34"/>
    <mergeCell ref="I123:O123"/>
    <mergeCell ref="I34:O34"/>
    <mergeCell ref="A139:A140"/>
    <mergeCell ref="A129:A130"/>
    <mergeCell ref="D123:F123"/>
    <mergeCell ref="D34:F34"/>
    <mergeCell ref="D132:F132"/>
    <mergeCell ref="D133:F133"/>
    <mergeCell ref="D134:F134"/>
    <mergeCell ref="P132:Q132"/>
    <mergeCell ref="P133:Q133"/>
    <mergeCell ref="P134:Q134"/>
    <mergeCell ref="P125:Q125"/>
    <mergeCell ref="P126:Q126"/>
    <mergeCell ref="P127:Q127"/>
    <mergeCell ref="P128:Q128"/>
    <mergeCell ref="P129:Q129"/>
    <mergeCell ref="P34:Q34"/>
    <mergeCell ref="D90:F90"/>
    <mergeCell ref="G90:H90"/>
    <mergeCell ref="I90:O90"/>
    <mergeCell ref="P90:Q90"/>
    <mergeCell ref="D92:F92"/>
    <mergeCell ref="G92:H92"/>
    <mergeCell ref="I92:O92"/>
    <mergeCell ref="P92:Q92"/>
    <mergeCell ref="D93:F93"/>
    <mergeCell ref="G93:H93"/>
    <mergeCell ref="I93:O93"/>
    <mergeCell ref="P93:Q93"/>
    <mergeCell ref="D91:F91"/>
    <mergeCell ref="G91:H91"/>
    <mergeCell ref="I91:O91"/>
    <mergeCell ref="P91:Q91"/>
    <mergeCell ref="D94:F94"/>
    <mergeCell ref="G94:H94"/>
    <mergeCell ref="I94:O94"/>
    <mergeCell ref="P94:Q94"/>
    <mergeCell ref="D95:F95"/>
    <mergeCell ref="G95:H95"/>
    <mergeCell ref="I95:O95"/>
    <mergeCell ref="P95:Q95"/>
    <mergeCell ref="D96:F96"/>
    <mergeCell ref="G96:H96"/>
    <mergeCell ref="I96:O96"/>
    <mergeCell ref="P96:Q96"/>
    <mergeCell ref="D81:F81"/>
    <mergeCell ref="G81:H81"/>
    <mergeCell ref="I81:O81"/>
    <mergeCell ref="P81:Q81"/>
    <mergeCell ref="D88:F88"/>
    <mergeCell ref="G88:H88"/>
    <mergeCell ref="I88:O88"/>
    <mergeCell ref="P88:Q88"/>
    <mergeCell ref="D89:F89"/>
    <mergeCell ref="G89:H89"/>
    <mergeCell ref="I89:O89"/>
    <mergeCell ref="P89:Q89"/>
    <mergeCell ref="D87:F87"/>
    <mergeCell ref="G87:H87"/>
    <mergeCell ref="I87:O87"/>
    <mergeCell ref="P87:Q87"/>
    <mergeCell ref="G82:H82"/>
    <mergeCell ref="D82:F82"/>
    <mergeCell ref="D83:F83"/>
    <mergeCell ref="D84:F84"/>
    <mergeCell ref="I82:O82"/>
    <mergeCell ref="P82:Q82"/>
    <mergeCell ref="G83:H83"/>
    <mergeCell ref="G84:H84"/>
    <mergeCell ref="D75:F75"/>
    <mergeCell ref="G75:H75"/>
    <mergeCell ref="I75:O75"/>
    <mergeCell ref="P75:Q75"/>
    <mergeCell ref="D72:F72"/>
    <mergeCell ref="G72:H72"/>
    <mergeCell ref="I72:O72"/>
    <mergeCell ref="P72:Q72"/>
    <mergeCell ref="D73:F73"/>
    <mergeCell ref="G73:H73"/>
    <mergeCell ref="I73:O73"/>
    <mergeCell ref="P73:Q73"/>
    <mergeCell ref="D60:F60"/>
    <mergeCell ref="G60:H60"/>
    <mergeCell ref="I60:O60"/>
    <mergeCell ref="P60:Q60"/>
    <mergeCell ref="D61:F61"/>
    <mergeCell ref="G61:H61"/>
    <mergeCell ref="I61:O61"/>
    <mergeCell ref="P61:Q61"/>
    <mergeCell ref="D74:F74"/>
    <mergeCell ref="G74:H74"/>
    <mergeCell ref="I74:O74"/>
    <mergeCell ref="P74:Q74"/>
    <mergeCell ref="D71:F71"/>
    <mergeCell ref="G71:H71"/>
    <mergeCell ref="I71:O71"/>
    <mergeCell ref="P71:Q71"/>
    <mergeCell ref="D66:F66"/>
    <mergeCell ref="G66:H66"/>
    <mergeCell ref="I66:O66"/>
    <mergeCell ref="P66:Q66"/>
    <mergeCell ref="D67:F67"/>
    <mergeCell ref="G67:H67"/>
    <mergeCell ref="I67:O67"/>
    <mergeCell ref="P67:Q67"/>
    <mergeCell ref="D52:F52"/>
    <mergeCell ref="G52:H52"/>
    <mergeCell ref="I52:O52"/>
    <mergeCell ref="P52:Q52"/>
    <mergeCell ref="D53:F53"/>
    <mergeCell ref="G53:H53"/>
    <mergeCell ref="I53:O53"/>
    <mergeCell ref="P53:Q53"/>
    <mergeCell ref="D48:F48"/>
    <mergeCell ref="G48:H48"/>
    <mergeCell ref="I48:O48"/>
    <mergeCell ref="P48:Q48"/>
    <mergeCell ref="D49:F49"/>
    <mergeCell ref="G49:H49"/>
    <mergeCell ref="I49:O49"/>
    <mergeCell ref="P49:Q49"/>
    <mergeCell ref="D51:F51"/>
    <mergeCell ref="G51:H51"/>
    <mergeCell ref="I51:O51"/>
    <mergeCell ref="P51:Q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CCBB9-28F5-4340-8DE6-058E7031CE3E}">
  <dimension ref="A1:CY73"/>
  <sheetViews>
    <sheetView showGridLines="0" zoomScale="91" zoomScaleNormal="100" workbookViewId="0">
      <pane xSplit="6" ySplit="4" topLeftCell="BH5" activePane="bottomRight" state="frozen"/>
      <selection pane="topRight" activeCell="G1" sqref="G1"/>
      <selection pane="bottomLeft" activeCell="A5" sqref="A5"/>
      <selection pane="bottomRight" activeCell="BM8" sqref="BM8"/>
    </sheetView>
  </sheetViews>
  <sheetFormatPr defaultColWidth="8.54296875" defaultRowHeight="11.5" x14ac:dyDescent="0.25"/>
  <cols>
    <col min="1" max="1" width="7.1796875" style="1" customWidth="1"/>
    <col min="2" max="2" width="5.54296875" style="1" customWidth="1"/>
    <col min="3" max="3" width="14.81640625" style="1" customWidth="1"/>
    <col min="4" max="4" width="14.453125" style="1" customWidth="1"/>
    <col min="5" max="5" width="9.453125" style="1" bestFit="1" customWidth="1"/>
    <col min="6" max="6" width="10.453125" style="1" customWidth="1"/>
    <col min="7" max="7" width="5.54296875" style="1" bestFit="1" customWidth="1"/>
    <col min="8" max="8" width="9.453125" style="1" bestFit="1" customWidth="1"/>
    <col min="9" max="9" width="4.54296875" style="1" bestFit="1" customWidth="1"/>
    <col min="10" max="10" width="5.54296875" style="1" bestFit="1" customWidth="1"/>
    <col min="11" max="11" width="9.453125" style="1" bestFit="1" customWidth="1"/>
    <col min="12" max="12" width="4.54296875" style="1" bestFit="1" customWidth="1"/>
    <col min="13" max="13" width="5.54296875" style="1" bestFit="1" customWidth="1"/>
    <col min="14" max="14" width="9.453125" style="1" bestFit="1" customWidth="1"/>
    <col min="15" max="15" width="4.453125" style="1" bestFit="1" customWidth="1"/>
    <col min="16" max="16" width="5.54296875" style="1" bestFit="1" customWidth="1"/>
    <col min="17" max="17" width="9.453125" style="1" bestFit="1" customWidth="1"/>
    <col min="18" max="18" width="3.453125" style="1" bestFit="1" customWidth="1"/>
    <col min="19" max="19" width="5.54296875" style="1" bestFit="1" customWidth="1"/>
    <col min="20" max="20" width="10.453125" style="1" bestFit="1" customWidth="1"/>
    <col min="21" max="21" width="6" style="1" bestFit="1" customWidth="1"/>
    <col min="22" max="22" width="5.54296875" style="1" bestFit="1" customWidth="1"/>
    <col min="23" max="23" width="9.453125" style="1" bestFit="1" customWidth="1"/>
    <col min="24" max="24" width="4.54296875" style="1" bestFit="1" customWidth="1"/>
    <col min="25" max="25" width="5.54296875" style="1" bestFit="1" customWidth="1"/>
    <col min="26" max="26" width="9.453125" style="1" bestFit="1" customWidth="1"/>
    <col min="27" max="27" width="4.54296875" style="1" bestFit="1" customWidth="1"/>
    <col min="28" max="28" width="5.54296875" style="1" bestFit="1" customWidth="1"/>
    <col min="29" max="29" width="9.453125" style="1" bestFit="1" customWidth="1"/>
    <col min="30" max="30" width="4.54296875" style="1" bestFit="1" customWidth="1"/>
    <col min="31" max="31" width="5.54296875" style="1" bestFit="1" customWidth="1"/>
    <col min="32" max="32" width="9.453125" style="1" bestFit="1" customWidth="1"/>
    <col min="33" max="33" width="4.54296875" style="1" bestFit="1" customWidth="1"/>
    <col min="34" max="34" width="6.453125" style="1" bestFit="1" customWidth="1"/>
    <col min="35" max="35" width="9.453125" style="1" bestFit="1" customWidth="1"/>
    <col min="36" max="36" width="4.54296875" style="1" customWidth="1"/>
    <col min="37" max="37" width="6.453125" style="1" bestFit="1" customWidth="1"/>
    <col min="38" max="38" width="9.453125" style="1" bestFit="1" customWidth="1"/>
    <col min="39" max="39" width="4.54296875" style="1" customWidth="1"/>
    <col min="40" max="40" width="6.453125" style="1" bestFit="1" customWidth="1"/>
    <col min="41" max="41" width="12.453125" style="1" bestFit="1" customWidth="1"/>
    <col min="42" max="42" width="6" style="1" bestFit="1" customWidth="1"/>
    <col min="43" max="43" width="6.453125" style="1" bestFit="1" customWidth="1"/>
    <col min="44" max="44" width="12.453125" style="1" bestFit="1" customWidth="1"/>
    <col min="45" max="45" width="6.54296875" style="1" bestFit="1" customWidth="1"/>
    <col min="46" max="46" width="6.453125" style="1" bestFit="1" customWidth="1"/>
    <col min="47" max="47" width="12.453125" style="1" bestFit="1" customWidth="1"/>
    <col min="48" max="48" width="6" style="1" bestFit="1" customWidth="1"/>
    <col min="49" max="49" width="6.453125" style="1" bestFit="1" customWidth="1"/>
    <col min="50" max="50" width="12.453125" style="1" bestFit="1" customWidth="1"/>
    <col min="51" max="51" width="6" style="1" bestFit="1" customWidth="1"/>
    <col min="52" max="52" width="6.453125" style="1" bestFit="1" customWidth="1"/>
    <col min="53" max="53" width="12.453125" style="1" bestFit="1" customWidth="1"/>
    <col min="54" max="54" width="6" style="1" bestFit="1" customWidth="1"/>
    <col min="55" max="55" width="6.453125" style="1" bestFit="1" customWidth="1"/>
    <col min="56" max="56" width="12.453125" style="1" bestFit="1" customWidth="1"/>
    <col min="57" max="57" width="6" style="1" bestFit="1" customWidth="1"/>
    <col min="58" max="58" width="6.453125" style="1" bestFit="1" customWidth="1"/>
    <col min="59" max="59" width="12.453125" style="1" bestFit="1" customWidth="1"/>
    <col min="60" max="60" width="6" style="1" bestFit="1" customWidth="1"/>
    <col min="61" max="61" width="6.453125" style="1" bestFit="1" customWidth="1"/>
    <col min="62" max="62" width="12.453125" style="1" bestFit="1" customWidth="1"/>
    <col min="63" max="63" width="6" style="1" bestFit="1" customWidth="1"/>
    <col min="64" max="64" width="6.453125" style="1" bestFit="1" customWidth="1"/>
    <col min="65" max="65" width="12.453125" style="1" bestFit="1" customWidth="1"/>
    <col min="66" max="66" width="6" style="1" bestFit="1" customWidth="1"/>
    <col min="67" max="67" width="6.453125" style="1" bestFit="1" customWidth="1"/>
    <col min="68" max="68" width="12.453125" style="1" bestFit="1" customWidth="1"/>
    <col min="69" max="70" width="6" style="1" bestFit="1" customWidth="1"/>
    <col min="71" max="71" width="12.453125" style="1" bestFit="1" customWidth="1"/>
    <col min="72" max="73" width="6" style="1" bestFit="1" customWidth="1"/>
    <col min="74" max="74" width="12.453125" style="1" bestFit="1" customWidth="1"/>
    <col min="75" max="75" width="6" style="1" bestFit="1" customWidth="1"/>
    <col min="76" max="76" width="5.54296875" style="1" bestFit="1" customWidth="1"/>
    <col min="77" max="77" width="12.453125" style="1" bestFit="1" customWidth="1"/>
    <col min="78" max="78" width="6" style="1" bestFit="1" customWidth="1"/>
    <col min="79" max="79" width="5.54296875" style="1" bestFit="1" customWidth="1"/>
    <col min="80" max="80" width="12.453125" style="1" bestFit="1" customWidth="1"/>
    <col min="81" max="81" width="6" style="1" bestFit="1" customWidth="1"/>
    <col min="82" max="82" width="5.54296875" style="1" bestFit="1" customWidth="1"/>
    <col min="83" max="83" width="12.453125" style="1" bestFit="1" customWidth="1"/>
    <col min="84" max="84" width="6" style="1" bestFit="1" customWidth="1"/>
    <col min="85" max="85" width="5.54296875" style="1" bestFit="1" customWidth="1"/>
    <col min="86" max="86" width="12.453125" style="1" bestFit="1" customWidth="1"/>
    <col min="87" max="87" width="6" style="1" bestFit="1" customWidth="1"/>
    <col min="88" max="88" width="5.54296875" style="1" bestFit="1" customWidth="1"/>
    <col min="89" max="89" width="12.453125" style="1" bestFit="1" customWidth="1"/>
    <col min="90" max="90" width="6" style="1" bestFit="1" customWidth="1"/>
    <col min="91" max="91" width="5.54296875" style="1" bestFit="1" customWidth="1"/>
    <col min="92" max="92" width="12.453125" style="1" bestFit="1" customWidth="1"/>
    <col min="93" max="93" width="6" style="1" bestFit="1" customWidth="1"/>
    <col min="94" max="94" width="5.54296875" style="1" bestFit="1" customWidth="1"/>
    <col min="95" max="95" width="12.453125" style="1" bestFit="1" customWidth="1"/>
    <col min="96" max="96" width="6" style="1" bestFit="1" customWidth="1"/>
    <col min="97" max="97" width="5.54296875" style="1" bestFit="1" customWidth="1"/>
    <col min="98" max="98" width="12.453125" style="1" bestFit="1" customWidth="1"/>
    <col min="99" max="99" width="6" style="1" bestFit="1" customWidth="1"/>
    <col min="100" max="100" width="7.453125" style="1" bestFit="1" customWidth="1"/>
    <col min="101" max="101" width="10.453125" style="1" bestFit="1" customWidth="1"/>
    <col min="102" max="102" width="6" style="1" bestFit="1" customWidth="1"/>
    <col min="103" max="103" width="12.453125" style="1" bestFit="1" customWidth="1"/>
    <col min="104" max="16384" width="8.54296875" style="1"/>
  </cols>
  <sheetData>
    <row r="1" spans="1:103" x14ac:dyDescent="0.25">
      <c r="A1" s="106">
        <f ca="1">TODAY()-1</f>
        <v>46257</v>
      </c>
    </row>
    <row r="2" spans="1:103" x14ac:dyDescent="0.25">
      <c r="A2" s="145"/>
    </row>
    <row r="3" spans="1:103" ht="12" thickBot="1" x14ac:dyDescent="0.3">
      <c r="D3" s="59" t="s">
        <v>242</v>
      </c>
      <c r="E3" s="59"/>
      <c r="F3" s="59"/>
      <c r="G3" s="190">
        <v>46235</v>
      </c>
      <c r="H3" s="191"/>
      <c r="I3" s="192"/>
      <c r="J3" s="190">
        <v>46236</v>
      </c>
      <c r="K3" s="191"/>
      <c r="L3" s="192"/>
      <c r="M3" s="190">
        <v>46237</v>
      </c>
      <c r="N3" s="191"/>
      <c r="O3" s="192"/>
      <c r="P3" s="190">
        <v>46238</v>
      </c>
      <c r="Q3" s="191"/>
      <c r="R3" s="192"/>
      <c r="S3" s="190">
        <v>46239</v>
      </c>
      <c r="T3" s="191"/>
      <c r="U3" s="192"/>
      <c r="V3" s="190">
        <v>46240</v>
      </c>
      <c r="W3" s="191"/>
      <c r="X3" s="192"/>
      <c r="Y3" s="190">
        <v>46241</v>
      </c>
      <c r="Z3" s="191"/>
      <c r="AA3" s="192"/>
      <c r="AB3" s="190">
        <v>46242</v>
      </c>
      <c r="AC3" s="191"/>
      <c r="AD3" s="192"/>
      <c r="AE3" s="190">
        <v>46243</v>
      </c>
      <c r="AF3" s="191"/>
      <c r="AG3" s="192"/>
      <c r="AH3" s="190">
        <v>46244</v>
      </c>
      <c r="AI3" s="191"/>
      <c r="AJ3" s="192"/>
      <c r="AK3" s="190">
        <v>46245</v>
      </c>
      <c r="AL3" s="191"/>
      <c r="AM3" s="192"/>
      <c r="AN3" s="190">
        <v>46246</v>
      </c>
      <c r="AO3" s="191"/>
      <c r="AP3" s="192"/>
      <c r="AQ3" s="190">
        <v>46247</v>
      </c>
      <c r="AR3" s="191"/>
      <c r="AS3" s="192"/>
      <c r="AT3" s="190">
        <v>46248</v>
      </c>
      <c r="AU3" s="191"/>
      <c r="AV3" s="192"/>
      <c r="AW3" s="190">
        <v>46249</v>
      </c>
      <c r="AX3" s="191"/>
      <c r="AY3" s="192"/>
      <c r="AZ3" s="190">
        <v>46250</v>
      </c>
      <c r="BA3" s="191"/>
      <c r="BB3" s="192"/>
      <c r="BC3" s="190">
        <v>46251</v>
      </c>
      <c r="BD3" s="191"/>
      <c r="BE3" s="192"/>
      <c r="BF3" s="190">
        <v>46252</v>
      </c>
      <c r="BG3" s="191"/>
      <c r="BH3" s="192"/>
      <c r="BI3" s="190">
        <v>46253</v>
      </c>
      <c r="BJ3" s="191"/>
      <c r="BK3" s="192"/>
      <c r="BL3" s="190">
        <v>46254</v>
      </c>
      <c r="BM3" s="191"/>
      <c r="BN3" s="192"/>
      <c r="BO3" s="190">
        <v>46255</v>
      </c>
      <c r="BP3" s="191"/>
      <c r="BQ3" s="192"/>
      <c r="BR3" s="190">
        <v>46256</v>
      </c>
      <c r="BS3" s="191"/>
      <c r="BT3" s="192"/>
      <c r="BU3" s="190">
        <v>46257</v>
      </c>
      <c r="BV3" s="191"/>
      <c r="BW3" s="192"/>
      <c r="BX3" s="190">
        <v>46258</v>
      </c>
      <c r="BY3" s="191"/>
      <c r="BZ3" s="192"/>
      <c r="CA3" s="190">
        <v>46259</v>
      </c>
      <c r="CB3" s="191"/>
      <c r="CC3" s="192"/>
      <c r="CD3" s="190">
        <v>46260</v>
      </c>
      <c r="CE3" s="191"/>
      <c r="CF3" s="192"/>
      <c r="CG3" s="190">
        <v>46261</v>
      </c>
      <c r="CH3" s="191"/>
      <c r="CI3" s="192"/>
      <c r="CJ3" s="190">
        <v>46262</v>
      </c>
      <c r="CK3" s="191"/>
      <c r="CL3" s="192"/>
      <c r="CM3" s="190">
        <v>46263</v>
      </c>
      <c r="CN3" s="191"/>
      <c r="CO3" s="192"/>
      <c r="CP3" s="190">
        <v>46264</v>
      </c>
      <c r="CQ3" s="191"/>
      <c r="CR3" s="192"/>
      <c r="CS3" s="190">
        <v>46265</v>
      </c>
      <c r="CT3" s="191"/>
      <c r="CU3" s="192"/>
      <c r="CV3" s="16" t="s">
        <v>8</v>
      </c>
      <c r="CW3" s="17"/>
      <c r="CX3" s="18"/>
    </row>
    <row r="4" spans="1:103" ht="12" thickBot="1" x14ac:dyDescent="0.3">
      <c r="A4" s="31"/>
      <c r="B4" s="14" t="s">
        <v>34</v>
      </c>
      <c r="C4" s="15" t="s">
        <v>35</v>
      </c>
      <c r="D4" s="60" t="s">
        <v>36</v>
      </c>
      <c r="E4" s="60" t="s">
        <v>37</v>
      </c>
      <c r="F4" s="60" t="s">
        <v>38</v>
      </c>
      <c r="G4" s="23" t="s">
        <v>36</v>
      </c>
      <c r="H4" s="23" t="s">
        <v>37</v>
      </c>
      <c r="I4" s="23" t="s">
        <v>38</v>
      </c>
      <c r="J4" s="23" t="s">
        <v>36</v>
      </c>
      <c r="K4" s="23" t="s">
        <v>37</v>
      </c>
      <c r="L4" s="23" t="s">
        <v>38</v>
      </c>
      <c r="M4" s="23" t="s">
        <v>36</v>
      </c>
      <c r="N4" s="23" t="s">
        <v>37</v>
      </c>
      <c r="O4" s="23" t="s">
        <v>38</v>
      </c>
      <c r="P4" s="23" t="s">
        <v>36</v>
      </c>
      <c r="Q4" s="23" t="s">
        <v>37</v>
      </c>
      <c r="R4" s="23" t="s">
        <v>38</v>
      </c>
      <c r="S4" s="23" t="s">
        <v>36</v>
      </c>
      <c r="T4" s="23" t="s">
        <v>37</v>
      </c>
      <c r="U4" s="23" t="s">
        <v>38</v>
      </c>
      <c r="V4" s="23" t="s">
        <v>36</v>
      </c>
      <c r="W4" s="23" t="s">
        <v>37</v>
      </c>
      <c r="X4" s="23" t="s">
        <v>38</v>
      </c>
      <c r="Y4" s="23" t="s">
        <v>36</v>
      </c>
      <c r="Z4" s="23" t="s">
        <v>37</v>
      </c>
      <c r="AA4" s="23" t="s">
        <v>38</v>
      </c>
      <c r="AB4" s="23" t="s">
        <v>36</v>
      </c>
      <c r="AC4" s="23" t="s">
        <v>37</v>
      </c>
      <c r="AD4" s="23" t="s">
        <v>38</v>
      </c>
      <c r="AE4" s="23" t="s">
        <v>36</v>
      </c>
      <c r="AF4" s="23" t="s">
        <v>37</v>
      </c>
      <c r="AG4" s="23" t="s">
        <v>38</v>
      </c>
      <c r="AH4" s="23" t="s">
        <v>36</v>
      </c>
      <c r="AI4" s="23" t="s">
        <v>37</v>
      </c>
      <c r="AJ4" s="23" t="s">
        <v>38</v>
      </c>
      <c r="AK4" s="23" t="s">
        <v>36</v>
      </c>
      <c r="AL4" s="23" t="s">
        <v>37</v>
      </c>
      <c r="AM4" s="23" t="s">
        <v>38</v>
      </c>
      <c r="AN4" s="23" t="s">
        <v>36</v>
      </c>
      <c r="AO4" s="23" t="s">
        <v>37</v>
      </c>
      <c r="AP4" s="23" t="s">
        <v>38</v>
      </c>
      <c r="AQ4" s="23" t="s">
        <v>36</v>
      </c>
      <c r="AR4" s="23" t="s">
        <v>37</v>
      </c>
      <c r="AS4" s="23" t="s">
        <v>38</v>
      </c>
      <c r="AT4" s="23" t="s">
        <v>36</v>
      </c>
      <c r="AU4" s="23" t="s">
        <v>37</v>
      </c>
      <c r="AV4" s="23" t="s">
        <v>38</v>
      </c>
      <c r="AW4" s="23" t="s">
        <v>36</v>
      </c>
      <c r="AX4" s="23" t="s">
        <v>37</v>
      </c>
      <c r="AY4" s="23" t="s">
        <v>38</v>
      </c>
      <c r="AZ4" s="23" t="s">
        <v>36</v>
      </c>
      <c r="BA4" s="23" t="s">
        <v>37</v>
      </c>
      <c r="BB4" s="23" t="s">
        <v>38</v>
      </c>
      <c r="BC4" s="23" t="s">
        <v>36</v>
      </c>
      <c r="BD4" s="23" t="s">
        <v>37</v>
      </c>
      <c r="BE4" s="23" t="s">
        <v>38</v>
      </c>
      <c r="BF4" s="23" t="s">
        <v>36</v>
      </c>
      <c r="BG4" s="23" t="s">
        <v>37</v>
      </c>
      <c r="BH4" s="23" t="s">
        <v>38</v>
      </c>
      <c r="BI4" s="23" t="s">
        <v>36</v>
      </c>
      <c r="BJ4" s="23" t="s">
        <v>37</v>
      </c>
      <c r="BK4" s="23" t="s">
        <v>38</v>
      </c>
      <c r="BL4" s="23" t="s">
        <v>36</v>
      </c>
      <c r="BM4" s="23" t="s">
        <v>37</v>
      </c>
      <c r="BN4" s="23" t="s">
        <v>38</v>
      </c>
      <c r="BO4" s="23" t="s">
        <v>36</v>
      </c>
      <c r="BP4" s="23" t="s">
        <v>37</v>
      </c>
      <c r="BQ4" s="23" t="s">
        <v>38</v>
      </c>
      <c r="BR4" s="23" t="s">
        <v>36</v>
      </c>
      <c r="BS4" s="23" t="s">
        <v>37</v>
      </c>
      <c r="BT4" s="23" t="s">
        <v>38</v>
      </c>
      <c r="BU4" s="23" t="s">
        <v>36</v>
      </c>
      <c r="BV4" s="23" t="s">
        <v>37</v>
      </c>
      <c r="BW4" s="23" t="s">
        <v>38</v>
      </c>
      <c r="BX4" s="23" t="s">
        <v>36</v>
      </c>
      <c r="BY4" s="23" t="s">
        <v>37</v>
      </c>
      <c r="BZ4" s="23" t="s">
        <v>38</v>
      </c>
      <c r="CA4" s="23" t="s">
        <v>36</v>
      </c>
      <c r="CB4" s="23" t="s">
        <v>37</v>
      </c>
      <c r="CC4" s="23" t="s">
        <v>38</v>
      </c>
      <c r="CD4" s="23" t="s">
        <v>36</v>
      </c>
      <c r="CE4" s="23" t="s">
        <v>37</v>
      </c>
      <c r="CF4" s="23" t="s">
        <v>38</v>
      </c>
      <c r="CG4" s="23" t="s">
        <v>36</v>
      </c>
      <c r="CH4" s="23" t="s">
        <v>37</v>
      </c>
      <c r="CI4" s="23" t="s">
        <v>38</v>
      </c>
      <c r="CJ4" s="23" t="s">
        <v>36</v>
      </c>
      <c r="CK4" s="23" t="s">
        <v>37</v>
      </c>
      <c r="CL4" s="23" t="s">
        <v>38</v>
      </c>
      <c r="CM4" s="23" t="s">
        <v>36</v>
      </c>
      <c r="CN4" s="23" t="s">
        <v>37</v>
      </c>
      <c r="CO4" s="23" t="s">
        <v>38</v>
      </c>
      <c r="CP4" s="23" t="s">
        <v>36</v>
      </c>
      <c r="CQ4" s="23" t="s">
        <v>37</v>
      </c>
      <c r="CR4" s="23" t="s">
        <v>38</v>
      </c>
      <c r="CS4" s="23" t="s">
        <v>36</v>
      </c>
      <c r="CT4" s="23" t="s">
        <v>37</v>
      </c>
      <c r="CU4" s="23" t="s">
        <v>38</v>
      </c>
      <c r="CV4" s="23" t="s">
        <v>36</v>
      </c>
      <c r="CW4" s="23" t="s">
        <v>37</v>
      </c>
      <c r="CX4" s="23" t="s">
        <v>38</v>
      </c>
      <c r="CY4" s="1" t="s">
        <v>39</v>
      </c>
    </row>
    <row r="5" spans="1:103" x14ac:dyDescent="0.25">
      <c r="A5" s="32" t="s">
        <v>24</v>
      </c>
      <c r="B5" s="36" t="s">
        <v>25</v>
      </c>
      <c r="C5" s="37"/>
      <c r="D5" s="41">
        <v>98.45</v>
      </c>
      <c r="E5" s="40">
        <v>750</v>
      </c>
      <c r="F5" s="38">
        <v>132</v>
      </c>
      <c r="G5" s="129">
        <v>95.8</v>
      </c>
      <c r="H5" s="40">
        <f>21367/1000</f>
        <v>21.367000000000001</v>
      </c>
      <c r="I5" s="40">
        <v>4</v>
      </c>
      <c r="J5" s="126">
        <v>99.44</v>
      </c>
      <c r="K5" s="40">
        <f>8853/1000</f>
        <v>8.8529999999999998</v>
      </c>
      <c r="L5" s="40">
        <v>2</v>
      </c>
      <c r="M5" s="129">
        <v>98.18</v>
      </c>
      <c r="N5" s="40">
        <f>34982/1000</f>
        <v>34.981999999999999</v>
      </c>
      <c r="O5" s="40">
        <v>7</v>
      </c>
      <c r="P5" s="126">
        <v>98.73</v>
      </c>
      <c r="Q5" s="40">
        <f>31273/1000</f>
        <v>31.273</v>
      </c>
      <c r="R5" s="40">
        <v>7</v>
      </c>
      <c r="S5" s="126">
        <v>98.64</v>
      </c>
      <c r="T5" s="40">
        <f>27283/1000</f>
        <v>27.283000000000001</v>
      </c>
      <c r="U5" s="40">
        <v>3</v>
      </c>
      <c r="V5" s="126">
        <v>98.76</v>
      </c>
      <c r="W5" s="40">
        <f>63511/1000</f>
        <v>63.511000000000003</v>
      </c>
      <c r="X5" s="40">
        <v>9</v>
      </c>
      <c r="Y5" s="126">
        <v>98.59</v>
      </c>
      <c r="Z5" s="40">
        <f>11733/1000</f>
        <v>11.733000000000001</v>
      </c>
      <c r="AA5" s="40">
        <v>2</v>
      </c>
      <c r="AB5" s="126">
        <v>98.58</v>
      </c>
      <c r="AC5" s="40">
        <f>12655/1000</f>
        <v>12.654999999999999</v>
      </c>
      <c r="AD5" s="40">
        <v>1</v>
      </c>
      <c r="AE5" s="126">
        <v>98.93</v>
      </c>
      <c r="AF5" s="40">
        <f>11240/1000</f>
        <v>11.24</v>
      </c>
      <c r="AG5" s="40">
        <v>3</v>
      </c>
      <c r="AH5" s="130">
        <v>96.88</v>
      </c>
      <c r="AI5" s="40">
        <f>10361/1000</f>
        <v>10.361000000000001</v>
      </c>
      <c r="AJ5" s="40">
        <v>4</v>
      </c>
      <c r="AK5" s="124">
        <v>98.57</v>
      </c>
      <c r="AL5" s="40">
        <f>51765/1000</f>
        <v>51.765000000000001</v>
      </c>
      <c r="AM5" s="40">
        <v>9</v>
      </c>
      <c r="AN5" s="156"/>
      <c r="AO5" s="40">
        <v>0</v>
      </c>
      <c r="AP5" s="40">
        <v>0</v>
      </c>
      <c r="AQ5" s="130">
        <v>97.9</v>
      </c>
      <c r="AR5" s="40">
        <f>21849/1000</f>
        <v>21.849</v>
      </c>
      <c r="AS5" s="40">
        <v>5</v>
      </c>
      <c r="AT5" s="124">
        <v>98.56</v>
      </c>
      <c r="AU5" s="40">
        <f>17846/1000</f>
        <v>17.846</v>
      </c>
      <c r="AV5" s="40">
        <v>4</v>
      </c>
      <c r="AW5" s="124">
        <v>99.01</v>
      </c>
      <c r="AX5" s="40">
        <f>31658/1000</f>
        <v>31.658000000000001</v>
      </c>
      <c r="AY5" s="40">
        <v>4</v>
      </c>
      <c r="AZ5" s="124">
        <v>99</v>
      </c>
      <c r="BA5" s="40">
        <f>52966/1000</f>
        <v>52.966000000000001</v>
      </c>
      <c r="BB5" s="40">
        <v>7</v>
      </c>
      <c r="BC5" s="130">
        <v>98.17</v>
      </c>
      <c r="BD5" s="119">
        <f>43026/1000</f>
        <v>43.026000000000003</v>
      </c>
      <c r="BE5" s="119">
        <v>8</v>
      </c>
      <c r="BF5" s="130">
        <v>98.44</v>
      </c>
      <c r="BG5" s="119">
        <f>15774/1000</f>
        <v>15.773999999999999</v>
      </c>
      <c r="BH5" s="119">
        <v>4</v>
      </c>
      <c r="BI5" s="130">
        <v>93.67</v>
      </c>
      <c r="BJ5" s="119">
        <v>276</v>
      </c>
      <c r="BK5" s="119">
        <v>1</v>
      </c>
      <c r="BL5" s="124">
        <v>98.45</v>
      </c>
      <c r="BM5" s="40">
        <f>16341/1000</f>
        <v>16.341000000000001</v>
      </c>
      <c r="BN5" s="40">
        <v>3</v>
      </c>
      <c r="BO5" s="124"/>
      <c r="BP5" s="40"/>
      <c r="BQ5" s="40"/>
      <c r="BR5" s="124"/>
      <c r="BS5" s="40"/>
      <c r="BT5" s="40"/>
      <c r="BU5" s="124"/>
      <c r="BV5" s="40"/>
      <c r="BW5" s="40"/>
      <c r="BX5" s="124"/>
      <c r="BY5" s="40"/>
      <c r="BZ5" s="40"/>
      <c r="CA5" s="124"/>
      <c r="CB5" s="40"/>
      <c r="CC5" s="40"/>
      <c r="CD5" s="124"/>
      <c r="CE5" s="40"/>
      <c r="CF5" s="40"/>
      <c r="CG5" s="124"/>
      <c r="CH5" s="40"/>
      <c r="CI5" s="40"/>
      <c r="CJ5" s="124"/>
      <c r="CK5" s="40"/>
      <c r="CL5" s="40"/>
      <c r="CM5" s="124"/>
      <c r="CN5" s="40"/>
      <c r="CO5" s="40"/>
      <c r="CP5" s="41"/>
      <c r="CQ5" s="40"/>
      <c r="CR5" s="40"/>
      <c r="CS5" s="41"/>
      <c r="CT5" s="40"/>
      <c r="CU5" s="40"/>
      <c r="CV5" s="41">
        <f>AVERAGE(G5,J5,M5,P5,S5,V5,Y5,AB5,AE5,AH5,AK5,AN5,AQ5,AT5,AW5,AZ5,BC5,BF5,BI5,BL5,BO5,BR5,BU5,BX5,CA5,CD5,CG5,CJ5,CM5,CP5,CS5)</f>
        <v>98.121052631578962</v>
      </c>
      <c r="CW5" s="22">
        <f>SUM(H5,K5,N5,Q5,T5,W5,Z5,AC5,AF5,AI5,AL5,AO5,AR5,AU5,AX5,BA5,BD5,BG5,BJ5,BM5,BP5,BS5,BV5,BY5,CB5,CE5,CH5,CK5,CN5,CQ5,CT5)</f>
        <v>760.48300000000006</v>
      </c>
      <c r="CX5" s="22">
        <f t="shared" ref="CX5:CX7" si="0">SUM(I5,L5,O5,R5,U5,X5,AA5,AD5,AG5,AJ5,AM5,AP5,AS5,AV5,AY5,BB5,BE5,BH5,BK5,BN5,BQ5,BT5,BW5,BZ5,CC5,CF5,CI5,CL5,CO5,CR5,CU5)</f>
        <v>87</v>
      </c>
      <c r="CY5" s="67">
        <f>CV5-D5</f>
        <v>-0.32894736842104066</v>
      </c>
    </row>
    <row r="6" spans="1:103" x14ac:dyDescent="0.25">
      <c r="A6" s="33" t="s">
        <v>243</v>
      </c>
      <c r="B6" s="39" t="s">
        <v>26</v>
      </c>
      <c r="C6" s="35"/>
      <c r="D6" s="42">
        <v>99.1</v>
      </c>
      <c r="E6" s="10">
        <v>1600</v>
      </c>
      <c r="F6" s="9">
        <v>121</v>
      </c>
      <c r="G6" s="127">
        <v>99.42</v>
      </c>
      <c r="H6" s="10">
        <f>30000/1000</f>
        <v>30</v>
      </c>
      <c r="I6" s="10">
        <v>3</v>
      </c>
      <c r="J6" s="127">
        <v>99.36</v>
      </c>
      <c r="K6" s="10">
        <f>49000/1000</f>
        <v>49</v>
      </c>
      <c r="L6" s="10">
        <v>4</v>
      </c>
      <c r="M6" s="127">
        <v>99.01</v>
      </c>
      <c r="N6" s="10">
        <f>37500/1000</f>
        <v>37.5</v>
      </c>
      <c r="O6" s="10">
        <v>3</v>
      </c>
      <c r="P6" s="127">
        <v>99.3</v>
      </c>
      <c r="Q6" s="10">
        <f>74000/1000</f>
        <v>74</v>
      </c>
      <c r="R6" s="10">
        <v>6</v>
      </c>
      <c r="S6" s="147">
        <v>98.92</v>
      </c>
      <c r="T6" s="10">
        <f>36500/1000</f>
        <v>36.5</v>
      </c>
      <c r="U6" s="10">
        <v>3</v>
      </c>
      <c r="V6" s="127">
        <v>99.25</v>
      </c>
      <c r="W6" s="10">
        <f>77000/1000</f>
        <v>77</v>
      </c>
      <c r="X6" s="10">
        <v>6</v>
      </c>
      <c r="Y6" s="147">
        <v>99</v>
      </c>
      <c r="Z6" s="10">
        <f>54900/1000</f>
        <v>54.9</v>
      </c>
      <c r="AA6" s="10">
        <v>5</v>
      </c>
      <c r="AB6" s="147">
        <v>99.05</v>
      </c>
      <c r="AC6" s="10">
        <f>20500/1000</f>
        <v>20.5</v>
      </c>
      <c r="AD6" s="10">
        <v>2</v>
      </c>
      <c r="AE6" s="147">
        <v>98.99</v>
      </c>
      <c r="AF6" s="10">
        <f>36700/1000</f>
        <v>36.700000000000003</v>
      </c>
      <c r="AG6" s="10">
        <v>3</v>
      </c>
      <c r="AH6" s="125">
        <v>99.07</v>
      </c>
      <c r="AI6" s="10">
        <f>86200/1000</f>
        <v>86.2</v>
      </c>
      <c r="AJ6" s="10">
        <v>7</v>
      </c>
      <c r="AK6" s="107">
        <v>99.45</v>
      </c>
      <c r="AL6" s="10">
        <f>81500/1000</f>
        <v>81.5</v>
      </c>
      <c r="AM6" s="10">
        <v>5</v>
      </c>
      <c r="AN6" s="157"/>
      <c r="AO6" s="10">
        <v>0</v>
      </c>
      <c r="AP6" s="10">
        <v>0</v>
      </c>
      <c r="AQ6" s="125">
        <v>98.37</v>
      </c>
      <c r="AR6" s="10">
        <f>47700/1000</f>
        <v>47.7</v>
      </c>
      <c r="AS6" s="10">
        <v>4</v>
      </c>
      <c r="AT6" s="107">
        <v>99.55</v>
      </c>
      <c r="AU6" s="10">
        <f>40000/1000</f>
        <v>40</v>
      </c>
      <c r="AV6" s="10">
        <v>3</v>
      </c>
      <c r="AW6" s="125">
        <v>98.92</v>
      </c>
      <c r="AX6" s="10">
        <f>37500/1000</f>
        <v>37.5</v>
      </c>
      <c r="AY6" s="10">
        <v>3</v>
      </c>
      <c r="AZ6" s="107">
        <v>99.36</v>
      </c>
      <c r="BA6" s="10">
        <f>54500/1000</f>
        <v>54.5</v>
      </c>
      <c r="BB6" s="10">
        <v>5</v>
      </c>
      <c r="BC6" s="107">
        <v>99.53</v>
      </c>
      <c r="BD6" s="120">
        <f>33000/1000</f>
        <v>33</v>
      </c>
      <c r="BE6" s="120">
        <v>2</v>
      </c>
      <c r="BF6" s="107">
        <v>99.54</v>
      </c>
      <c r="BG6" s="120">
        <f>31500/1000</f>
        <v>31.5</v>
      </c>
      <c r="BH6" s="123">
        <v>2</v>
      </c>
      <c r="BI6" s="107">
        <v>99.35</v>
      </c>
      <c r="BJ6" s="120">
        <f>116500/1000</f>
        <v>116.5</v>
      </c>
      <c r="BK6" s="120">
        <v>10</v>
      </c>
      <c r="BL6" s="107">
        <v>99.46</v>
      </c>
      <c r="BM6" s="10">
        <f>50000/1000</f>
        <v>50</v>
      </c>
      <c r="BN6" s="10">
        <v>4</v>
      </c>
      <c r="BO6" s="107"/>
      <c r="BP6" s="10"/>
      <c r="BQ6" s="10"/>
      <c r="BR6" s="107"/>
      <c r="BS6" s="10"/>
      <c r="BT6" s="10"/>
      <c r="BU6" s="107"/>
      <c r="BV6" s="10"/>
      <c r="BW6" s="10"/>
      <c r="BX6" s="107"/>
      <c r="BY6" s="10"/>
      <c r="BZ6" s="10"/>
      <c r="CA6" s="107"/>
      <c r="CB6" s="10"/>
      <c r="CC6" s="10"/>
      <c r="CD6" s="107"/>
      <c r="CE6" s="10"/>
      <c r="CF6" s="10"/>
      <c r="CG6" s="107"/>
      <c r="CH6" s="10"/>
      <c r="CI6" s="10"/>
      <c r="CJ6" s="107"/>
      <c r="CK6" s="10"/>
      <c r="CL6" s="10"/>
      <c r="CM6" s="107"/>
      <c r="CN6" s="10"/>
      <c r="CO6" s="10"/>
      <c r="CP6" s="42"/>
      <c r="CQ6" s="10"/>
      <c r="CR6" s="10"/>
      <c r="CS6" s="42"/>
      <c r="CT6" s="10"/>
      <c r="CU6" s="10"/>
      <c r="CV6" s="42">
        <f>AVERAGE(G6,J6,M6,P6,S6,V6,Y6,AB6,AE6,AH6,AK6,AN6,AQ6,AT6,AW6,AZ6,BC6,BF6,BI6,BL6,BO6,BR6,BU6,BX6,CA6,CD6,CG6,CJ6,CM6,CP6,CS6)</f>
        <v>99.205263157894734</v>
      </c>
      <c r="CW6" s="22">
        <f t="shared" ref="CW6:CW7" si="1">SUM(H6,K6,N6,Q6,T6,W6,Z6,AC6,AF6,AI6,AL6,AO6,AR6,AU6,AX6,BA6,BD6,BG6,BJ6,BM6,BP6,BS6,BV6,BY6,CB6,CE6,CH6,CK6,CN6,CQ6,CT6)</f>
        <v>994.5</v>
      </c>
      <c r="CX6" s="22">
        <f t="shared" si="0"/>
        <v>80</v>
      </c>
      <c r="CY6" s="67">
        <f t="shared" ref="CY6:CY8" si="2">CV6-D6</f>
        <v>0.10526315789473983</v>
      </c>
    </row>
    <row r="7" spans="1:103" ht="12" thickBot="1" x14ac:dyDescent="0.3">
      <c r="A7" s="33"/>
      <c r="B7" s="76" t="s">
        <v>27</v>
      </c>
      <c r="C7" s="72"/>
      <c r="D7" s="74">
        <v>99.2</v>
      </c>
      <c r="E7" s="20">
        <v>1200</v>
      </c>
      <c r="F7" s="4">
        <v>91</v>
      </c>
      <c r="G7" s="128">
        <v>99.59</v>
      </c>
      <c r="H7" s="20">
        <f>59067/1000</f>
        <v>59.067</v>
      </c>
      <c r="I7" s="20">
        <v>4</v>
      </c>
      <c r="J7" s="128">
        <v>99.63</v>
      </c>
      <c r="K7" s="20">
        <f>17000/1000</f>
        <v>17</v>
      </c>
      <c r="L7" s="20">
        <v>1</v>
      </c>
      <c r="M7" s="148"/>
      <c r="N7" s="20">
        <v>0</v>
      </c>
      <c r="O7" s="20">
        <v>0</v>
      </c>
      <c r="P7" s="128">
        <v>99.71</v>
      </c>
      <c r="Q7" s="20">
        <f>9000/1000</f>
        <v>9</v>
      </c>
      <c r="R7" s="20">
        <v>1</v>
      </c>
      <c r="S7" s="128">
        <v>99.54</v>
      </c>
      <c r="T7" s="20">
        <f>106879/1000</f>
        <v>106.879</v>
      </c>
      <c r="U7" s="20">
        <v>8</v>
      </c>
      <c r="V7" s="128">
        <v>99.46</v>
      </c>
      <c r="W7" s="20">
        <f>80198/1000</f>
        <v>80.197999999999993</v>
      </c>
      <c r="X7" s="20">
        <v>7</v>
      </c>
      <c r="Y7" s="128">
        <v>99.55</v>
      </c>
      <c r="Z7" s="20">
        <f>31729/1000</f>
        <v>31.728999999999999</v>
      </c>
      <c r="AA7" s="20">
        <v>2</v>
      </c>
      <c r="AB7" s="128">
        <v>99.7</v>
      </c>
      <c r="AC7" s="20">
        <f>9063/1000</f>
        <v>9.0630000000000006</v>
      </c>
      <c r="AD7" s="20">
        <v>1</v>
      </c>
      <c r="AE7" s="128">
        <v>99.73</v>
      </c>
      <c r="AF7" s="20">
        <f>19000/1000</f>
        <v>19</v>
      </c>
      <c r="AG7" s="20">
        <v>1</v>
      </c>
      <c r="AH7" s="108">
        <v>99.5</v>
      </c>
      <c r="AI7" s="20">
        <f>35114/1000</f>
        <v>35.113999999999997</v>
      </c>
      <c r="AJ7" s="20">
        <v>3</v>
      </c>
      <c r="AK7" s="108">
        <v>99.57</v>
      </c>
      <c r="AL7" s="20">
        <f>38000/1000</f>
        <v>38</v>
      </c>
      <c r="AM7" s="20">
        <v>2</v>
      </c>
      <c r="AN7" s="121"/>
      <c r="AO7" s="20">
        <v>0</v>
      </c>
      <c r="AP7" s="20">
        <v>0</v>
      </c>
      <c r="AQ7" s="108"/>
      <c r="AR7" s="20">
        <v>0</v>
      </c>
      <c r="AS7" s="20">
        <v>0</v>
      </c>
      <c r="AT7" s="108">
        <v>99.64</v>
      </c>
      <c r="AU7" s="20">
        <f>43000/1000</f>
        <v>43</v>
      </c>
      <c r="AV7" s="20">
        <v>3</v>
      </c>
      <c r="AW7" s="108">
        <v>99.54</v>
      </c>
      <c r="AX7" s="20">
        <f>98494/1000</f>
        <v>98.494</v>
      </c>
      <c r="AY7" s="20">
        <v>9</v>
      </c>
      <c r="AZ7" s="108">
        <v>99.53</v>
      </c>
      <c r="BA7" s="20">
        <f>59262/1000</f>
        <v>59.262</v>
      </c>
      <c r="BB7" s="20">
        <v>5</v>
      </c>
      <c r="BC7" s="108">
        <v>99.36</v>
      </c>
      <c r="BD7" s="122">
        <f>43296/1000</f>
        <v>43.295999999999999</v>
      </c>
      <c r="BE7" s="122">
        <v>4</v>
      </c>
      <c r="BF7" s="108">
        <v>99.59</v>
      </c>
      <c r="BG7" s="122">
        <f>50065/1000</f>
        <v>50.064999999999998</v>
      </c>
      <c r="BH7" s="122">
        <v>3</v>
      </c>
      <c r="BI7" s="108">
        <v>99.63</v>
      </c>
      <c r="BJ7" s="122">
        <f>38000/1000</f>
        <v>38</v>
      </c>
      <c r="BK7" s="122">
        <v>2</v>
      </c>
      <c r="BL7" s="108">
        <v>99.55</v>
      </c>
      <c r="BM7" s="20">
        <f>51907/1000</f>
        <v>51.906999999999996</v>
      </c>
      <c r="BN7" s="20">
        <v>4</v>
      </c>
      <c r="BO7" s="108"/>
      <c r="BP7" s="20"/>
      <c r="BQ7" s="20"/>
      <c r="BR7" s="108"/>
      <c r="BS7" s="20"/>
      <c r="BT7" s="20"/>
      <c r="BU7" s="108"/>
      <c r="BV7" s="20"/>
      <c r="BW7" s="20"/>
      <c r="BX7" s="108"/>
      <c r="BY7" s="20"/>
      <c r="BZ7" s="20"/>
      <c r="CA7" s="108"/>
      <c r="CB7" s="20"/>
      <c r="CC7" s="20"/>
      <c r="CD7" s="108"/>
      <c r="CE7" s="20"/>
      <c r="CF7" s="20"/>
      <c r="CG7" s="108"/>
      <c r="CH7" s="20"/>
      <c r="CI7" s="20"/>
      <c r="CJ7" s="74"/>
      <c r="CK7" s="20"/>
      <c r="CL7" s="20"/>
      <c r="CM7" s="108"/>
      <c r="CN7" s="20"/>
      <c r="CO7" s="20"/>
      <c r="CP7" s="74"/>
      <c r="CQ7" s="20"/>
      <c r="CR7" s="20"/>
      <c r="CS7" s="74"/>
      <c r="CT7" s="20"/>
      <c r="CU7" s="20"/>
      <c r="CV7" s="74">
        <f>AVERAGE(G7,J7,M7,P7,S7,V7,Y7,AB7,AE7,AH7,AK7,AN7,AQ7,AT7,AW7,AZ7,BC7,BF7,BI7,BL7,BO7,BR7,BU7,BX7,CA7,CD7,CG7,CJ7,CM7,CP7,CS7)</f>
        <v>99.57764705882353</v>
      </c>
      <c r="CW7" s="63">
        <f t="shared" si="1"/>
        <v>789.07400000000018</v>
      </c>
      <c r="CX7" s="63">
        <f t="shared" si="0"/>
        <v>60</v>
      </c>
      <c r="CY7" s="67">
        <f t="shared" si="2"/>
        <v>0.377647058823527</v>
      </c>
    </row>
    <row r="8" spans="1:103" ht="12" thickBot="1" x14ac:dyDescent="0.3">
      <c r="A8" s="34"/>
      <c r="B8" s="77" t="s">
        <v>244</v>
      </c>
      <c r="C8" s="78"/>
      <c r="D8" s="75">
        <v>99</v>
      </c>
      <c r="E8" s="21">
        <f>SUM(E5:E7)</f>
        <v>3550</v>
      </c>
      <c r="F8" s="21">
        <f>SUM(F5:F7)</f>
        <v>344</v>
      </c>
      <c r="G8" s="24">
        <f>(G5*H5/H8)+(G6*H6/H8)+(G7*H7/H8)</f>
        <v>98.810521487947554</v>
      </c>
      <c r="H8" s="79">
        <f>SUM(H5:H7)</f>
        <v>110.434</v>
      </c>
      <c r="I8" s="79">
        <f>SUM(I5:I7)</f>
        <v>11</v>
      </c>
      <c r="J8" s="24">
        <f>(J5*K5/K8)+(J6*K6/K8)+(J7*K7/K8)</f>
        <v>99.430781932587877</v>
      </c>
      <c r="K8" s="79">
        <f>SUM(K5:K7)</f>
        <v>74.853000000000009</v>
      </c>
      <c r="L8" s="79">
        <f>SUM(L5:L7)</f>
        <v>7</v>
      </c>
      <c r="M8" s="24">
        <f>(M5*N5/N8)+(M6*N6/N8)+(M7*N7/N8)</f>
        <v>98.609416958693203</v>
      </c>
      <c r="N8" s="79">
        <f>SUM(N5:N7)</f>
        <v>72.481999999999999</v>
      </c>
      <c r="O8" s="79">
        <f>SUM(O5:O7)</f>
        <v>10</v>
      </c>
      <c r="P8" s="24">
        <f>(P5*Q5/Q8)+(P6*Q6/Q8)+(P7*Q7/Q8)</f>
        <v>99.176299650836171</v>
      </c>
      <c r="Q8" s="79">
        <f>SUM(Q5:Q7)</f>
        <v>114.273</v>
      </c>
      <c r="R8" s="79">
        <f>SUM(R5:R7)</f>
        <v>14</v>
      </c>
      <c r="S8" s="24">
        <f>(S5*T5/T8)+(S6*T6/T8)+(S7*T7/T8)</f>
        <v>99.263519588426249</v>
      </c>
      <c r="T8" s="79">
        <f>SUM(T5:T7)</f>
        <v>170.66200000000001</v>
      </c>
      <c r="U8" s="79">
        <f>SUM(U5:U7)</f>
        <v>14</v>
      </c>
      <c r="V8" s="24">
        <f>(V5*W5/W8)+(V6*W6/W8)+(V7*W7/W8)</f>
        <v>99.185304813124958</v>
      </c>
      <c r="W8" s="79">
        <f>SUM(W5:W7)</f>
        <v>220.709</v>
      </c>
      <c r="X8" s="79">
        <f>SUM(X5:X7)</f>
        <v>22</v>
      </c>
      <c r="Y8" s="24">
        <f>(Y5*Z5/Z8)+(Y6*Z6/Z8)+(Y7*Z7/Z8)</f>
        <v>99.128509180374536</v>
      </c>
      <c r="Z8" s="79">
        <f>SUM(Z5:Z7)</f>
        <v>98.361999999999995</v>
      </c>
      <c r="AA8" s="79">
        <f>SUM(AA5:AA7)</f>
        <v>9</v>
      </c>
      <c r="AB8" s="24">
        <f>(AB5*AC5/AC8)+(AB6*AC6/AC8)+(AB7*AC7/AC8)</f>
        <v>99.048652233644418</v>
      </c>
      <c r="AC8" s="79">
        <f>SUM(AC5:AC7)</f>
        <v>42.218000000000004</v>
      </c>
      <c r="AD8" s="79">
        <f>SUM(AD5:AD7)</f>
        <v>4</v>
      </c>
      <c r="AE8" s="24">
        <f>(AE5*AF5/AF8)+(AE6*AF6/AF8)+(AE7*AF7/AF8)</f>
        <v>99.189964146997312</v>
      </c>
      <c r="AF8" s="79">
        <f t="shared" ref="AF8:AG8" si="3">SUM(AF5:AF7)</f>
        <v>66.94</v>
      </c>
      <c r="AG8" s="79">
        <f t="shared" si="3"/>
        <v>7</v>
      </c>
      <c r="AH8" s="24">
        <f>(AH5*AI5/AI8)+(AH6*AI6/AI8)+(AH7*AI7/AI8)</f>
        <v>99.012346155306616</v>
      </c>
      <c r="AI8" s="21">
        <f t="shared" ref="AI8:AJ8" si="4">SUM(AI5:AI7)</f>
        <v>131.67500000000001</v>
      </c>
      <c r="AJ8" s="21">
        <f t="shared" si="4"/>
        <v>14</v>
      </c>
      <c r="AK8" s="80">
        <f>(AK5*AL5/AL8)+(AK6*AL6/AL8)+(AK7*AL7/AL8)</f>
        <v>99.210644615070208</v>
      </c>
      <c r="AL8" s="21">
        <f t="shared" ref="AL8:AM8" si="5">SUM(AL5:AL7)</f>
        <v>171.26499999999999</v>
      </c>
      <c r="AM8" s="21">
        <f t="shared" si="5"/>
        <v>16</v>
      </c>
      <c r="AN8" s="80" t="e">
        <f>(AN5*AO5/AO8)+(AN6*AO6/AO8)+(AN7*AO7/AO8)</f>
        <v>#DIV/0!</v>
      </c>
      <c r="AO8" s="21">
        <f t="shared" ref="AO8:AP8" si="6">SUM(AO5:AO7)</f>
        <v>0</v>
      </c>
      <c r="AP8" s="21">
        <f t="shared" si="6"/>
        <v>0</v>
      </c>
      <c r="AQ8" s="80">
        <f>(AQ5*AR5/AR8)+(AQ6*AR6/AR8)+(AQ7*AR7/AR8)</f>
        <v>37.723460969252528</v>
      </c>
      <c r="AR8" s="79">
        <v>181.08799999999999</v>
      </c>
      <c r="AS8" s="79">
        <v>21</v>
      </c>
      <c r="AT8" s="80">
        <f>(AT5*AU5/AU8)+(AT6*AU6/AU8)+(AT7*AU7/AU8)</f>
        <v>99.413182079606528</v>
      </c>
      <c r="AU8" s="79">
        <f>SUM(AU5:AU7)</f>
        <v>100.846</v>
      </c>
      <c r="AV8" s="79">
        <f>SUM(AV5:AV7)</f>
        <v>10</v>
      </c>
      <c r="AW8" s="80">
        <f>(AW5*AX5/AX8)+(AW6*AX6/AX8)+(AW7*AX7/AX8)</f>
        <v>99.301239114355951</v>
      </c>
      <c r="AX8" s="79">
        <f>SUM(AX5:AX7)</f>
        <v>167.65199999999999</v>
      </c>
      <c r="AY8" s="79">
        <f>SUM(AY5:AY7)</f>
        <v>16</v>
      </c>
      <c r="AZ8" s="80">
        <f>(AZ5*BA5/BA8)+(AZ6*BA6/BA8)+(AZ7*BA7/BA8)</f>
        <v>99.306060529725045</v>
      </c>
      <c r="BA8" s="79">
        <f>SUM(BA5:BA7)</f>
        <v>166.72800000000001</v>
      </c>
      <c r="BB8" s="79">
        <f>SUM(BB5:BB7)</f>
        <v>17</v>
      </c>
      <c r="BC8" s="80">
        <f>(BC5*BD5/BD8)+(BC6*BD6/BD8)+(BC7*BD7/BD8)</f>
        <v>98.977916729521809</v>
      </c>
      <c r="BD8" s="79">
        <f>SUM(BD5:BD7)</f>
        <v>119.322</v>
      </c>
      <c r="BE8" s="79">
        <f>SUM(BE5:BE7)</f>
        <v>14</v>
      </c>
      <c r="BF8" s="80">
        <f>(BF5*BG5/BG8)+(BF6*BG6/BG8)+(BF7*BG7/BG8)</f>
        <v>99.387459394487308</v>
      </c>
      <c r="BG8" s="79">
        <f>SUM(BG5:BG7)</f>
        <v>97.338999999999999</v>
      </c>
      <c r="BH8" s="79">
        <f>SUM(BH5:BH7)</f>
        <v>9</v>
      </c>
      <c r="BI8" s="80">
        <f>(BI5*BJ5/BJ8)+(BI6*BJ6/BJ8)+(BI7*BJ7/BJ8)</f>
        <v>95.733182346109174</v>
      </c>
      <c r="BJ8" s="79">
        <f>SUM(BJ5:BJ7)</f>
        <v>430.5</v>
      </c>
      <c r="BK8" s="79">
        <f>SUM(BK5:BK7)</f>
        <v>13</v>
      </c>
      <c r="BL8" s="80">
        <f>(BL5*BM5/BM8)+(BL6*BM6/BM8)+(BL7*BM7/BM8)</f>
        <v>99.359932514714842</v>
      </c>
      <c r="BM8" s="79">
        <f>SUM(BM5:BM7)</f>
        <v>118.248</v>
      </c>
      <c r="BN8" s="79">
        <f>SUM(BN5:BN7)</f>
        <v>11</v>
      </c>
      <c r="BO8" s="80" t="e">
        <f>(BO5*BP5/BP8)+(BO6*BP6/BP8)+(BO7*BP7/BP8)</f>
        <v>#DIV/0!</v>
      </c>
      <c r="BP8" s="79">
        <f>SUM(BP5:BP7)</f>
        <v>0</v>
      </c>
      <c r="BQ8" s="79">
        <f>SUM(BQ5:BQ7)</f>
        <v>0</v>
      </c>
      <c r="BR8" s="80" t="e">
        <f>(BR5*BS5/BS8)+(BR6*BS6/BS8)+(BR7*BS7/BS8)</f>
        <v>#DIV/0!</v>
      </c>
      <c r="BS8" s="79">
        <f>SUM(BS5:BS7)</f>
        <v>0</v>
      </c>
      <c r="BT8" s="79">
        <f>SUM(BT5:BT7)</f>
        <v>0</v>
      </c>
      <c r="BU8" s="80" t="e">
        <f>(BU5*BV5/BV8)+(BU6*BV6/BV8)+(BU7*BV7/BV8)</f>
        <v>#DIV/0!</v>
      </c>
      <c r="BV8" s="79">
        <f>SUM(BV5:BV7)</f>
        <v>0</v>
      </c>
      <c r="BW8" s="79">
        <f>SUM(BW5:BW7)</f>
        <v>0</v>
      </c>
      <c r="BX8" s="80"/>
      <c r="BY8" s="79"/>
      <c r="BZ8" s="79"/>
      <c r="CA8" s="80"/>
      <c r="CB8" s="79"/>
      <c r="CC8" s="79"/>
      <c r="CD8" s="80"/>
      <c r="CE8" s="79"/>
      <c r="CF8" s="79"/>
      <c r="CG8" s="80"/>
      <c r="CH8" s="79"/>
      <c r="CI8" s="79"/>
      <c r="CJ8" s="80"/>
      <c r="CK8" s="79"/>
      <c r="CL8" s="79"/>
      <c r="CM8" s="80"/>
      <c r="CN8" s="79"/>
      <c r="CO8" s="79"/>
      <c r="CP8" s="80"/>
      <c r="CQ8" s="79"/>
      <c r="CR8" s="79"/>
      <c r="CS8" s="80"/>
      <c r="CT8" s="79"/>
      <c r="CU8" s="79"/>
      <c r="CV8" s="80">
        <f>(CV5*CW5/CW8)+(CV6*CW6/CW8)+(CV7*CW7/CW8)</f>
        <v>98.996665151072278</v>
      </c>
      <c r="CW8" s="21">
        <f>SUM(CW5:CW7)</f>
        <v>2544.0570000000002</v>
      </c>
      <c r="CX8" s="21">
        <f>SUM(CX5:CX7)</f>
        <v>227</v>
      </c>
      <c r="CY8" s="68">
        <f t="shared" si="2"/>
        <v>-3.3348489277216231E-3</v>
      </c>
    </row>
    <row r="9" spans="1:103" x14ac:dyDescent="0.25">
      <c r="A9" s="145"/>
    </row>
    <row r="10" spans="1:103" x14ac:dyDescent="0.25">
      <c r="A10" s="145"/>
    </row>
    <row r="11" spans="1:103" x14ac:dyDescent="0.25">
      <c r="A11" s="152" t="s">
        <v>60</v>
      </c>
      <c r="B11" s="152" t="s">
        <v>61</v>
      </c>
      <c r="C11" s="152" t="s">
        <v>62</v>
      </c>
      <c r="D11" s="152" t="s">
        <v>245</v>
      </c>
      <c r="E11" s="152" t="s">
        <v>64</v>
      </c>
      <c r="F11" s="152" t="s">
        <v>65</v>
      </c>
    </row>
    <row r="12" spans="1:103" ht="46" x14ac:dyDescent="0.25">
      <c r="A12" s="166">
        <v>46253</v>
      </c>
      <c r="B12" s="167" t="s">
        <v>246</v>
      </c>
      <c r="C12" s="168" t="s">
        <v>247</v>
      </c>
      <c r="D12" s="169" t="s">
        <v>248</v>
      </c>
      <c r="E12" s="169" t="s">
        <v>249</v>
      </c>
      <c r="F12" s="169" t="s">
        <v>250</v>
      </c>
      <c r="G12" s="170"/>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70"/>
      <c r="BK12" s="170"/>
      <c r="BL12" s="170"/>
      <c r="BM12" s="170"/>
      <c r="BN12" s="170"/>
      <c r="BO12" s="170"/>
      <c r="BP12" s="170"/>
      <c r="BQ12" s="170"/>
      <c r="BR12" s="170"/>
      <c r="BS12" s="170"/>
      <c r="BT12" s="170"/>
      <c r="BU12" s="170"/>
      <c r="BV12" s="170"/>
      <c r="BW12" s="170"/>
      <c r="BX12" s="170"/>
      <c r="BY12" s="170"/>
      <c r="BZ12" s="170"/>
      <c r="CA12" s="170"/>
      <c r="CB12" s="170"/>
      <c r="CC12" s="170"/>
      <c r="CD12" s="170"/>
      <c r="CE12" s="170"/>
      <c r="CF12" s="170"/>
      <c r="CG12" s="170"/>
      <c r="CH12" s="170"/>
      <c r="CI12" s="170"/>
      <c r="CJ12" s="170"/>
      <c r="CK12" s="170"/>
      <c r="CL12" s="170"/>
      <c r="CM12" s="170"/>
      <c r="CN12" s="170"/>
      <c r="CO12" s="170"/>
      <c r="CP12" s="170"/>
      <c r="CQ12" s="170"/>
      <c r="CR12" s="170"/>
      <c r="CS12" s="170"/>
      <c r="CT12" s="170"/>
      <c r="CU12" s="170"/>
      <c r="CV12" s="170"/>
      <c r="CW12" s="170"/>
      <c r="CX12" s="170"/>
      <c r="CY12" s="170"/>
    </row>
    <row r="13" spans="1:103" ht="46" x14ac:dyDescent="0.25">
      <c r="A13" s="160">
        <v>46252</v>
      </c>
      <c r="B13" s="159" t="s">
        <v>246</v>
      </c>
      <c r="C13" s="114" t="s">
        <v>247</v>
      </c>
      <c r="D13" s="111" t="s">
        <v>248</v>
      </c>
      <c r="E13" s="111" t="s">
        <v>249</v>
      </c>
      <c r="F13" s="111" t="s">
        <v>250</v>
      </c>
    </row>
    <row r="14" spans="1:103" ht="46" x14ac:dyDescent="0.25">
      <c r="A14" s="160">
        <v>46251</v>
      </c>
      <c r="B14" s="159" t="s">
        <v>246</v>
      </c>
      <c r="C14" s="114" t="s">
        <v>247</v>
      </c>
      <c r="D14" s="111" t="s">
        <v>248</v>
      </c>
      <c r="E14" s="111" t="s">
        <v>249</v>
      </c>
      <c r="F14" s="111" t="s">
        <v>250</v>
      </c>
    </row>
    <row r="15" spans="1:103" ht="34.5" x14ac:dyDescent="0.25">
      <c r="A15" s="160">
        <v>46249</v>
      </c>
      <c r="B15" s="159" t="s">
        <v>26</v>
      </c>
      <c r="C15" s="114" t="s">
        <v>251</v>
      </c>
      <c r="D15" s="111" t="s">
        <v>252</v>
      </c>
      <c r="E15" s="151" t="s">
        <v>253</v>
      </c>
      <c r="F15" s="151" t="s">
        <v>250</v>
      </c>
    </row>
    <row r="16" spans="1:103" ht="69" x14ac:dyDescent="0.25">
      <c r="A16" s="207">
        <v>46248</v>
      </c>
      <c r="B16" s="159" t="s">
        <v>246</v>
      </c>
      <c r="C16" s="151" t="s">
        <v>254</v>
      </c>
      <c r="D16" s="151" t="s">
        <v>255</v>
      </c>
      <c r="E16" s="151" t="s">
        <v>253</v>
      </c>
      <c r="F16" s="151" t="s">
        <v>250</v>
      </c>
    </row>
    <row r="17" spans="1:6" ht="69" x14ac:dyDescent="0.25">
      <c r="A17" s="208"/>
      <c r="B17" s="159" t="s">
        <v>26</v>
      </c>
      <c r="C17" s="151" t="s">
        <v>256</v>
      </c>
      <c r="D17" s="111" t="s">
        <v>257</v>
      </c>
      <c r="E17" s="111" t="s">
        <v>258</v>
      </c>
      <c r="F17" s="111" t="s">
        <v>250</v>
      </c>
    </row>
    <row r="18" spans="1:6" ht="34.5" x14ac:dyDescent="0.25">
      <c r="A18" s="201">
        <v>46244</v>
      </c>
      <c r="B18" s="204" t="s">
        <v>26</v>
      </c>
      <c r="C18" s="151" t="s">
        <v>259</v>
      </c>
      <c r="D18" s="151" t="s">
        <v>260</v>
      </c>
      <c r="E18" s="151" t="s">
        <v>253</v>
      </c>
      <c r="F18" s="151" t="s">
        <v>250</v>
      </c>
    </row>
    <row r="19" spans="1:6" ht="46" x14ac:dyDescent="0.25">
      <c r="A19" s="202"/>
      <c r="B19" s="205"/>
      <c r="C19" s="151" t="s">
        <v>261</v>
      </c>
      <c r="D19" s="151" t="s">
        <v>262</v>
      </c>
      <c r="E19" s="151" t="s">
        <v>249</v>
      </c>
      <c r="F19" s="151" t="s">
        <v>250</v>
      </c>
    </row>
    <row r="20" spans="1:6" ht="34.5" x14ac:dyDescent="0.25">
      <c r="A20" s="202"/>
      <c r="B20" s="205"/>
      <c r="C20" s="114" t="s">
        <v>263</v>
      </c>
      <c r="D20" s="111" t="s">
        <v>264</v>
      </c>
      <c r="E20" s="111" t="s">
        <v>253</v>
      </c>
      <c r="F20" s="111" t="s">
        <v>250</v>
      </c>
    </row>
    <row r="21" spans="1:6" ht="69" x14ac:dyDescent="0.25">
      <c r="A21" s="202"/>
      <c r="B21" s="206"/>
      <c r="C21" s="165" t="s">
        <v>265</v>
      </c>
      <c r="D21" s="151" t="s">
        <v>266</v>
      </c>
      <c r="E21" s="151" t="s">
        <v>249</v>
      </c>
      <c r="F21" s="151" t="s">
        <v>267</v>
      </c>
    </row>
    <row r="22" spans="1:6" ht="57.5" x14ac:dyDescent="0.25">
      <c r="A22" s="203"/>
      <c r="B22" s="151" t="s">
        <v>246</v>
      </c>
      <c r="C22" s="151" t="s">
        <v>268</v>
      </c>
      <c r="D22" s="151" t="s">
        <v>269</v>
      </c>
      <c r="E22" s="151" t="s">
        <v>253</v>
      </c>
      <c r="F22" s="151" t="s">
        <v>250</v>
      </c>
    </row>
    <row r="23" spans="1:6" ht="46" x14ac:dyDescent="0.25">
      <c r="A23" s="153">
        <v>46243</v>
      </c>
      <c r="B23" s="151" t="s">
        <v>26</v>
      </c>
      <c r="C23" s="151" t="s">
        <v>261</v>
      </c>
      <c r="D23" s="151" t="s">
        <v>262</v>
      </c>
      <c r="E23" s="151" t="s">
        <v>249</v>
      </c>
      <c r="F23" s="151" t="s">
        <v>250</v>
      </c>
    </row>
    <row r="24" spans="1:6" ht="69" x14ac:dyDescent="0.25">
      <c r="A24" s="153">
        <v>46242</v>
      </c>
      <c r="B24" s="151" t="s">
        <v>26</v>
      </c>
      <c r="C24" s="151" t="s">
        <v>270</v>
      </c>
      <c r="D24" s="151" t="s">
        <v>271</v>
      </c>
      <c r="E24" s="151" t="s">
        <v>253</v>
      </c>
      <c r="F24" s="151" t="s">
        <v>250</v>
      </c>
    </row>
    <row r="25" spans="1:6" ht="46" x14ac:dyDescent="0.25">
      <c r="A25" s="153">
        <v>46240</v>
      </c>
      <c r="B25" s="151" t="s">
        <v>26</v>
      </c>
      <c r="C25" s="151" t="s">
        <v>272</v>
      </c>
      <c r="D25" s="151" t="s">
        <v>273</v>
      </c>
      <c r="E25" s="151" t="s">
        <v>249</v>
      </c>
      <c r="F25" s="151" t="s">
        <v>250</v>
      </c>
    </row>
    <row r="26" spans="1:6" ht="34.5" x14ac:dyDescent="0.25">
      <c r="A26" s="153">
        <v>46239</v>
      </c>
      <c r="B26" s="151" t="s">
        <v>26</v>
      </c>
      <c r="C26" s="151" t="s">
        <v>259</v>
      </c>
      <c r="D26" s="151" t="s">
        <v>260</v>
      </c>
      <c r="E26" s="151" t="s">
        <v>253</v>
      </c>
      <c r="F26" s="151" t="s">
        <v>250</v>
      </c>
    </row>
    <row r="27" spans="1:6" ht="23" x14ac:dyDescent="0.25">
      <c r="A27" s="200">
        <v>46237</v>
      </c>
      <c r="B27" s="199" t="s">
        <v>246</v>
      </c>
      <c r="C27" s="151" t="s">
        <v>274</v>
      </c>
      <c r="D27" s="151" t="s">
        <v>275</v>
      </c>
      <c r="E27" s="151" t="s">
        <v>276</v>
      </c>
      <c r="F27" s="151" t="s">
        <v>267</v>
      </c>
    </row>
    <row r="28" spans="1:6" ht="23" x14ac:dyDescent="0.25">
      <c r="A28" s="200"/>
      <c r="B28" s="199"/>
      <c r="C28" s="151" t="s">
        <v>277</v>
      </c>
      <c r="D28" s="151" t="s">
        <v>248</v>
      </c>
      <c r="E28" s="151" t="s">
        <v>249</v>
      </c>
      <c r="F28" s="151" t="s">
        <v>250</v>
      </c>
    </row>
    <row r="29" spans="1:6" ht="34.5" x14ac:dyDescent="0.25">
      <c r="A29" s="153">
        <v>46235</v>
      </c>
      <c r="B29" s="151" t="s">
        <v>246</v>
      </c>
      <c r="C29" s="151" t="s">
        <v>278</v>
      </c>
      <c r="D29" s="151" t="s">
        <v>279</v>
      </c>
      <c r="E29" s="151" t="s">
        <v>280</v>
      </c>
      <c r="F29" s="151" t="s">
        <v>281</v>
      </c>
    </row>
    <row r="30" spans="1:6" x14ac:dyDescent="0.25">
      <c r="A30" s="155"/>
      <c r="B30" s="154"/>
      <c r="C30" s="154"/>
      <c r="D30" s="154"/>
      <c r="E30" s="154"/>
      <c r="F30" s="154"/>
    </row>
    <row r="31" spans="1:6" x14ac:dyDescent="0.25">
      <c r="A31" s="155"/>
      <c r="B31" s="154"/>
      <c r="C31" s="154"/>
      <c r="D31" s="154"/>
      <c r="E31" s="154"/>
      <c r="F31" s="154"/>
    </row>
    <row r="32" spans="1:6" x14ac:dyDescent="0.25">
      <c r="A32" s="150"/>
      <c r="B32" s="149"/>
      <c r="C32" s="149"/>
      <c r="D32" s="149"/>
      <c r="E32" s="149"/>
      <c r="F32" s="149"/>
    </row>
    <row r="33" spans="1:103" x14ac:dyDescent="0.25">
      <c r="A33" s="145"/>
    </row>
    <row r="34" spans="1:103" x14ac:dyDescent="0.25">
      <c r="A34" s="145"/>
    </row>
    <row r="35" spans="1:103" x14ac:dyDescent="0.25">
      <c r="A35" s="145"/>
    </row>
    <row r="36" spans="1:103" x14ac:dyDescent="0.25">
      <c r="A36" s="145"/>
    </row>
    <row r="37" spans="1:103" x14ac:dyDescent="0.25">
      <c r="A37" s="145"/>
    </row>
    <row r="38" spans="1:103" x14ac:dyDescent="0.25">
      <c r="A38" s="145"/>
    </row>
    <row r="39" spans="1:103" x14ac:dyDescent="0.25">
      <c r="A39" s="145"/>
    </row>
    <row r="40" spans="1:103" x14ac:dyDescent="0.25">
      <c r="A40" s="145"/>
    </row>
    <row r="41" spans="1:103" x14ac:dyDescent="0.25">
      <c r="A41" s="145"/>
    </row>
    <row r="42" spans="1:103" x14ac:dyDescent="0.25">
      <c r="A42" s="145"/>
    </row>
    <row r="43" spans="1:103" x14ac:dyDescent="0.25">
      <c r="A43" s="145"/>
    </row>
    <row r="44" spans="1:103" ht="12" thickBot="1" x14ac:dyDescent="0.3">
      <c r="D44" s="59" t="s">
        <v>242</v>
      </c>
      <c r="E44" s="59"/>
      <c r="F44" s="59"/>
      <c r="G44" s="16">
        <v>46204</v>
      </c>
      <c r="H44" s="17"/>
      <c r="I44" s="18"/>
      <c r="J44" s="16">
        <v>46205</v>
      </c>
      <c r="K44" s="17"/>
      <c r="L44" s="18"/>
      <c r="M44" s="56">
        <v>46206</v>
      </c>
      <c r="N44" s="57"/>
      <c r="O44" s="58"/>
      <c r="P44" s="56">
        <v>46207</v>
      </c>
      <c r="Q44" s="57"/>
      <c r="R44" s="58"/>
      <c r="S44" s="16">
        <v>46208</v>
      </c>
      <c r="T44" s="17"/>
      <c r="U44" s="18"/>
      <c r="V44" s="16">
        <v>46209</v>
      </c>
      <c r="W44" s="17"/>
      <c r="X44" s="18"/>
      <c r="Y44" s="16">
        <v>46210</v>
      </c>
      <c r="Z44" s="17"/>
      <c r="AA44" s="18"/>
      <c r="AB44" s="16">
        <v>46211</v>
      </c>
      <c r="AC44" s="17"/>
      <c r="AD44" s="18"/>
      <c r="AE44" s="16">
        <v>46212</v>
      </c>
      <c r="AF44" s="17"/>
      <c r="AG44" s="18"/>
      <c r="AH44" s="16">
        <v>46213</v>
      </c>
      <c r="AI44" s="17"/>
      <c r="AJ44" s="18"/>
      <c r="AK44" s="16">
        <v>46214</v>
      </c>
      <c r="AL44" s="17"/>
      <c r="AM44" s="18"/>
      <c r="AN44" s="16">
        <v>46215</v>
      </c>
      <c r="AO44" s="17"/>
      <c r="AP44" s="18"/>
      <c r="AQ44" s="16">
        <v>46216</v>
      </c>
      <c r="AR44" s="17"/>
      <c r="AS44" s="18"/>
      <c r="AT44" s="16">
        <v>46217</v>
      </c>
      <c r="AU44" s="17"/>
      <c r="AV44" s="18"/>
      <c r="AW44" s="16">
        <v>46218</v>
      </c>
      <c r="AX44" s="17"/>
      <c r="AY44" s="18"/>
      <c r="AZ44" s="16">
        <v>46219</v>
      </c>
      <c r="BA44" s="17"/>
      <c r="BB44" s="18"/>
      <c r="BC44" s="16">
        <v>46220</v>
      </c>
      <c r="BD44" s="17"/>
      <c r="BE44" s="18"/>
      <c r="BF44" s="16">
        <v>46221</v>
      </c>
      <c r="BG44" s="17"/>
      <c r="BH44" s="18"/>
      <c r="BI44" s="16">
        <v>46222</v>
      </c>
      <c r="BJ44" s="17"/>
      <c r="BK44" s="18"/>
      <c r="BL44" s="16">
        <v>46223</v>
      </c>
      <c r="BM44" s="17"/>
      <c r="BN44" s="18"/>
      <c r="BO44" s="16">
        <v>46224</v>
      </c>
      <c r="BP44" s="17"/>
      <c r="BQ44" s="18"/>
      <c r="BR44" s="16">
        <v>46225</v>
      </c>
      <c r="BS44" s="17"/>
      <c r="BT44" s="18"/>
      <c r="BU44" s="16">
        <v>46226</v>
      </c>
      <c r="BV44" s="17"/>
      <c r="BW44" s="18"/>
      <c r="BX44" s="16">
        <v>46227</v>
      </c>
      <c r="BY44" s="17"/>
      <c r="BZ44" s="18"/>
      <c r="CA44" s="16">
        <v>46228</v>
      </c>
      <c r="CB44" s="17"/>
      <c r="CC44" s="18"/>
      <c r="CD44" s="16">
        <v>46229</v>
      </c>
      <c r="CE44" s="17"/>
      <c r="CF44" s="18"/>
      <c r="CG44" s="16">
        <v>46230</v>
      </c>
      <c r="CH44" s="17"/>
      <c r="CI44" s="18"/>
      <c r="CJ44" s="16">
        <v>46231</v>
      </c>
      <c r="CK44" s="17"/>
      <c r="CL44" s="18"/>
      <c r="CM44" s="16">
        <v>46232</v>
      </c>
      <c r="CN44" s="17"/>
      <c r="CO44" s="18"/>
      <c r="CP44" s="16">
        <v>46233</v>
      </c>
      <c r="CQ44" s="17"/>
      <c r="CR44" s="18"/>
      <c r="CS44" s="16">
        <v>46234</v>
      </c>
      <c r="CT44" s="17"/>
      <c r="CU44" s="18"/>
      <c r="CV44" s="16" t="s">
        <v>8</v>
      </c>
      <c r="CW44" s="17"/>
      <c r="CX44" s="18"/>
    </row>
    <row r="45" spans="1:103" ht="12" thickBot="1" x14ac:dyDescent="0.3">
      <c r="A45" s="31"/>
      <c r="B45" s="14" t="s">
        <v>34</v>
      </c>
      <c r="C45" s="15" t="s">
        <v>35</v>
      </c>
      <c r="D45" s="60" t="s">
        <v>36</v>
      </c>
      <c r="E45" s="60" t="s">
        <v>37</v>
      </c>
      <c r="F45" s="60" t="s">
        <v>38</v>
      </c>
      <c r="G45" s="23" t="s">
        <v>36</v>
      </c>
      <c r="H45" s="23" t="s">
        <v>37</v>
      </c>
      <c r="I45" s="23" t="s">
        <v>38</v>
      </c>
      <c r="J45" s="23" t="s">
        <v>36</v>
      </c>
      <c r="K45" s="23" t="s">
        <v>37</v>
      </c>
      <c r="L45" s="23" t="s">
        <v>38</v>
      </c>
      <c r="M45" s="23" t="s">
        <v>36</v>
      </c>
      <c r="N45" s="23" t="s">
        <v>37</v>
      </c>
      <c r="O45" s="23" t="s">
        <v>38</v>
      </c>
      <c r="P45" s="23" t="s">
        <v>36</v>
      </c>
      <c r="Q45" s="23" t="s">
        <v>37</v>
      </c>
      <c r="R45" s="23" t="s">
        <v>38</v>
      </c>
      <c r="S45" s="23" t="s">
        <v>36</v>
      </c>
      <c r="T45" s="23" t="s">
        <v>37</v>
      </c>
      <c r="U45" s="23" t="s">
        <v>38</v>
      </c>
      <c r="V45" s="23" t="s">
        <v>36</v>
      </c>
      <c r="W45" s="23" t="s">
        <v>37</v>
      </c>
      <c r="X45" s="23" t="s">
        <v>38</v>
      </c>
      <c r="Y45" s="23" t="s">
        <v>36</v>
      </c>
      <c r="Z45" s="23" t="s">
        <v>37</v>
      </c>
      <c r="AA45" s="23" t="s">
        <v>38</v>
      </c>
      <c r="AB45" s="23" t="s">
        <v>36</v>
      </c>
      <c r="AC45" s="23" t="s">
        <v>37</v>
      </c>
      <c r="AD45" s="23" t="s">
        <v>38</v>
      </c>
      <c r="AE45" s="23" t="s">
        <v>36</v>
      </c>
      <c r="AF45" s="23" t="s">
        <v>37</v>
      </c>
      <c r="AG45" s="23" t="s">
        <v>38</v>
      </c>
      <c r="AH45" s="23" t="s">
        <v>36</v>
      </c>
      <c r="AI45" s="23" t="s">
        <v>37</v>
      </c>
      <c r="AJ45" s="23" t="s">
        <v>38</v>
      </c>
      <c r="AK45" s="23" t="s">
        <v>36</v>
      </c>
      <c r="AL45" s="23" t="s">
        <v>37</v>
      </c>
      <c r="AM45" s="23" t="s">
        <v>38</v>
      </c>
      <c r="AN45" s="23" t="s">
        <v>36</v>
      </c>
      <c r="AO45" s="23" t="s">
        <v>37</v>
      </c>
      <c r="AP45" s="23" t="s">
        <v>38</v>
      </c>
      <c r="AQ45" s="23" t="s">
        <v>36</v>
      </c>
      <c r="AR45" s="23" t="s">
        <v>37</v>
      </c>
      <c r="AS45" s="23" t="s">
        <v>38</v>
      </c>
      <c r="AT45" s="23" t="s">
        <v>36</v>
      </c>
      <c r="AU45" s="23" t="s">
        <v>37</v>
      </c>
      <c r="AV45" s="23" t="s">
        <v>38</v>
      </c>
      <c r="AW45" s="23" t="s">
        <v>36</v>
      </c>
      <c r="AX45" s="23" t="s">
        <v>37</v>
      </c>
      <c r="AY45" s="23" t="s">
        <v>38</v>
      </c>
      <c r="AZ45" s="23" t="s">
        <v>36</v>
      </c>
      <c r="BA45" s="23" t="s">
        <v>37</v>
      </c>
      <c r="BB45" s="23" t="s">
        <v>38</v>
      </c>
      <c r="BC45" s="23" t="s">
        <v>36</v>
      </c>
      <c r="BD45" s="23" t="s">
        <v>37</v>
      </c>
      <c r="BE45" s="23" t="s">
        <v>38</v>
      </c>
      <c r="BF45" s="23" t="s">
        <v>36</v>
      </c>
      <c r="BG45" s="23" t="s">
        <v>37</v>
      </c>
      <c r="BH45" s="23" t="s">
        <v>38</v>
      </c>
      <c r="BI45" s="23" t="s">
        <v>36</v>
      </c>
      <c r="BJ45" s="23" t="s">
        <v>37</v>
      </c>
      <c r="BK45" s="23" t="s">
        <v>38</v>
      </c>
      <c r="BL45" s="23" t="s">
        <v>36</v>
      </c>
      <c r="BM45" s="23" t="s">
        <v>37</v>
      </c>
      <c r="BN45" s="23" t="s">
        <v>38</v>
      </c>
      <c r="BO45" s="23" t="s">
        <v>36</v>
      </c>
      <c r="BP45" s="23" t="s">
        <v>37</v>
      </c>
      <c r="BQ45" s="23" t="s">
        <v>38</v>
      </c>
      <c r="BR45" s="23" t="s">
        <v>36</v>
      </c>
      <c r="BS45" s="23" t="s">
        <v>37</v>
      </c>
      <c r="BT45" s="23" t="s">
        <v>38</v>
      </c>
      <c r="BU45" s="23" t="s">
        <v>36</v>
      </c>
      <c r="BV45" s="23" t="s">
        <v>37</v>
      </c>
      <c r="BW45" s="23" t="s">
        <v>38</v>
      </c>
      <c r="BX45" s="23" t="s">
        <v>36</v>
      </c>
      <c r="BY45" s="23" t="s">
        <v>37</v>
      </c>
      <c r="BZ45" s="23" t="s">
        <v>38</v>
      </c>
      <c r="CA45" s="23" t="s">
        <v>36</v>
      </c>
      <c r="CB45" s="23" t="s">
        <v>37</v>
      </c>
      <c r="CC45" s="23" t="s">
        <v>38</v>
      </c>
      <c r="CD45" s="23" t="s">
        <v>36</v>
      </c>
      <c r="CE45" s="23" t="s">
        <v>37</v>
      </c>
      <c r="CF45" s="23" t="s">
        <v>38</v>
      </c>
      <c r="CG45" s="23" t="s">
        <v>36</v>
      </c>
      <c r="CH45" s="23" t="s">
        <v>37</v>
      </c>
      <c r="CI45" s="23" t="s">
        <v>38</v>
      </c>
      <c r="CJ45" s="23" t="s">
        <v>36</v>
      </c>
      <c r="CK45" s="23" t="s">
        <v>37</v>
      </c>
      <c r="CL45" s="23" t="s">
        <v>38</v>
      </c>
      <c r="CM45" s="23" t="s">
        <v>36</v>
      </c>
      <c r="CN45" s="23" t="s">
        <v>37</v>
      </c>
      <c r="CO45" s="23" t="s">
        <v>38</v>
      </c>
      <c r="CP45" s="23" t="s">
        <v>36</v>
      </c>
      <c r="CQ45" s="23" t="s">
        <v>37</v>
      </c>
      <c r="CR45" s="23" t="s">
        <v>38</v>
      </c>
      <c r="CS45" s="23" t="s">
        <v>36</v>
      </c>
      <c r="CT45" s="23" t="s">
        <v>37</v>
      </c>
      <c r="CU45" s="23" t="s">
        <v>38</v>
      </c>
      <c r="CV45" s="23" t="s">
        <v>36</v>
      </c>
      <c r="CW45" s="23" t="s">
        <v>37</v>
      </c>
      <c r="CX45" s="23" t="s">
        <v>38</v>
      </c>
      <c r="CY45" s="1" t="s">
        <v>39</v>
      </c>
    </row>
    <row r="46" spans="1:103" x14ac:dyDescent="0.25">
      <c r="A46" s="32" t="s">
        <v>24</v>
      </c>
      <c r="B46" s="36" t="s">
        <v>25</v>
      </c>
      <c r="C46" s="37"/>
      <c r="D46" s="41">
        <v>98.45</v>
      </c>
      <c r="E46" s="40">
        <v>800</v>
      </c>
      <c r="F46" s="38">
        <v>148</v>
      </c>
      <c r="G46" s="126">
        <v>98.53</v>
      </c>
      <c r="H46" s="40">
        <v>39.619</v>
      </c>
      <c r="I46" s="40">
        <v>5</v>
      </c>
      <c r="J46" s="126">
        <v>98.32</v>
      </c>
      <c r="K46" s="40">
        <v>15.705</v>
      </c>
      <c r="L46" s="40">
        <v>4</v>
      </c>
      <c r="M46" s="126">
        <v>98.53</v>
      </c>
      <c r="N46" s="40">
        <v>18.073</v>
      </c>
      <c r="O46" s="40">
        <v>2</v>
      </c>
      <c r="P46" s="126">
        <v>98.55</v>
      </c>
      <c r="Q46" s="40">
        <v>17.507999999999999</v>
      </c>
      <c r="R46" s="40">
        <v>2</v>
      </c>
      <c r="S46" s="126">
        <v>99.11</v>
      </c>
      <c r="T46" s="40">
        <v>17.690999999999999</v>
      </c>
      <c r="U46" s="40">
        <v>3</v>
      </c>
      <c r="V46" s="129">
        <v>98.06</v>
      </c>
      <c r="W46" s="40">
        <v>5.9580000000000002</v>
      </c>
      <c r="X46" s="40">
        <v>3</v>
      </c>
      <c r="Y46" s="126">
        <v>98.59</v>
      </c>
      <c r="Z46" s="40">
        <v>21.763000000000002</v>
      </c>
      <c r="AA46" s="40">
        <v>3</v>
      </c>
      <c r="AB46" s="129">
        <v>98.37</v>
      </c>
      <c r="AC46" s="40">
        <v>40.259</v>
      </c>
      <c r="AD46" s="40">
        <v>6</v>
      </c>
      <c r="AE46" s="126">
        <v>98.51</v>
      </c>
      <c r="AF46" s="40">
        <v>31.373999999999999</v>
      </c>
      <c r="AG46" s="40">
        <v>6</v>
      </c>
      <c r="AH46" s="124">
        <v>98.71</v>
      </c>
      <c r="AI46" s="40">
        <v>22.53</v>
      </c>
      <c r="AJ46" s="40">
        <v>3</v>
      </c>
      <c r="AK46" s="124">
        <v>98.56</v>
      </c>
      <c r="AL46" s="40">
        <v>83.5</v>
      </c>
      <c r="AM46" s="40">
        <v>2</v>
      </c>
      <c r="AN46" s="124">
        <v>98.91</v>
      </c>
      <c r="AO46" s="40">
        <v>13.846</v>
      </c>
      <c r="AP46" s="40">
        <v>3</v>
      </c>
      <c r="AQ46" s="124">
        <v>98.53</v>
      </c>
      <c r="AR46" s="40">
        <v>53.024000000000001</v>
      </c>
      <c r="AS46" s="40">
        <v>10</v>
      </c>
      <c r="AT46" s="124">
        <v>99.12</v>
      </c>
      <c r="AU46" s="40">
        <f>2026/1000</f>
        <v>2.0259999999999998</v>
      </c>
      <c r="AV46" s="40">
        <v>1</v>
      </c>
      <c r="AW46" s="109">
        <v>98.01</v>
      </c>
      <c r="AX46" s="40">
        <f>37114/1000</f>
        <v>37.113999999999997</v>
      </c>
      <c r="AY46" s="40">
        <v>10</v>
      </c>
      <c r="AZ46" s="109">
        <v>97.54</v>
      </c>
      <c r="BA46" s="40">
        <f>34804/1000</f>
        <v>34.804000000000002</v>
      </c>
      <c r="BB46" s="40">
        <v>8</v>
      </c>
      <c r="BC46" s="124">
        <v>98.73</v>
      </c>
      <c r="BD46" s="119">
        <f>36398/1000</f>
        <v>36.398000000000003</v>
      </c>
      <c r="BE46" s="119">
        <v>7</v>
      </c>
      <c r="BF46" s="124">
        <v>99.18</v>
      </c>
      <c r="BG46" s="119">
        <f>21635/1000</f>
        <v>21.635000000000002</v>
      </c>
      <c r="BH46" s="119">
        <v>5</v>
      </c>
      <c r="BI46" s="124">
        <v>98.74</v>
      </c>
      <c r="BJ46" s="119">
        <f>27770/1000</f>
        <v>27.77</v>
      </c>
      <c r="BK46" s="119">
        <v>5</v>
      </c>
      <c r="BL46" s="130">
        <v>98.03</v>
      </c>
      <c r="BM46" s="40">
        <f>24441/1000</f>
        <v>24.440999999999999</v>
      </c>
      <c r="BN46" s="40">
        <v>9</v>
      </c>
      <c r="BO46" s="130">
        <v>97.22</v>
      </c>
      <c r="BP46" s="40">
        <f>46388/1000</f>
        <v>46.387999999999998</v>
      </c>
      <c r="BQ46" s="40">
        <v>8</v>
      </c>
      <c r="BR46" s="130">
        <v>96.68</v>
      </c>
      <c r="BS46" s="40">
        <f>78030/1000</f>
        <v>78.03</v>
      </c>
      <c r="BT46" s="40">
        <v>12</v>
      </c>
      <c r="BU46" s="130">
        <v>98.43</v>
      </c>
      <c r="BV46" s="40">
        <f>50782/1000</f>
        <v>50.781999999999996</v>
      </c>
      <c r="BW46" s="40">
        <v>8</v>
      </c>
      <c r="BX46" s="124">
        <v>98.95</v>
      </c>
      <c r="BY46" s="40">
        <f>23929/1000</f>
        <v>23.928999999999998</v>
      </c>
      <c r="BZ46" s="40">
        <v>6</v>
      </c>
      <c r="CA46" s="124">
        <v>98.93</v>
      </c>
      <c r="CB46" s="40">
        <f>39320/1000</f>
        <v>39.32</v>
      </c>
      <c r="CC46" s="40">
        <v>5</v>
      </c>
      <c r="CD46" s="124">
        <v>98.99</v>
      </c>
      <c r="CE46" s="40">
        <f>38110/1000</f>
        <v>38.11</v>
      </c>
      <c r="CF46" s="40">
        <v>4</v>
      </c>
      <c r="CG46" s="124">
        <v>98.91</v>
      </c>
      <c r="CH46" s="40">
        <f>25241/1000</f>
        <v>25.241</v>
      </c>
      <c r="CI46" s="40">
        <v>4</v>
      </c>
      <c r="CJ46" s="124">
        <v>98.65</v>
      </c>
      <c r="CK46" s="40">
        <f>32513/1000</f>
        <v>32.512999999999998</v>
      </c>
      <c r="CL46" s="40">
        <v>4</v>
      </c>
      <c r="CM46" s="130">
        <v>98.26</v>
      </c>
      <c r="CN46" s="40">
        <f>47228/1000</f>
        <v>47.228000000000002</v>
      </c>
      <c r="CO46" s="40">
        <v>6</v>
      </c>
      <c r="CP46" s="41"/>
      <c r="CQ46" s="40"/>
      <c r="CR46" s="40"/>
      <c r="CS46" s="41"/>
      <c r="CT46" s="40"/>
      <c r="CU46" s="40"/>
      <c r="CV46" s="41">
        <f>AVERAGE(G46,J46,M46,P46,S46,V46,Y46,AB46,AE46,AH46,AK46,AN46,AQ46,AT46,AW46,AZ46,BC46,BF46,BI46,BL46,BO46,BR46,BU46,BX46,CA46,CD46,CG46,CJ46,CM46,CP46,CS46)</f>
        <v>98.470689655172379</v>
      </c>
      <c r="CW46" s="22">
        <f>SUM(H46,K46,N46,Q46,T46,W46,Z46,AC46,AF46,AI46,AL46,AO46,AR46,AU46,AX46,BA46,BD46,BG46,BJ46,BM46,BP46,BS46,BV46,BY46,CB46,CE46,CH46,CK46,CN46,CQ46,CT46)</f>
        <v>946.57900000000006</v>
      </c>
      <c r="CX46" s="22">
        <f t="shared" ref="CW46:CX48" si="7">SUM(I46,L46,O46,R46,U46,X46,AA46,AD46,AG46,AJ46,AM46,AP46,AS46,AV46,AY46,BB46,BE46,BH46,BK46,BN46,BQ46,BT46,BW46,BZ46,CC46,CF46,CI46,CL46,CO46,CR46,CU46)</f>
        <v>154</v>
      </c>
      <c r="CY46" s="67">
        <f>CV46-D46</f>
        <v>2.0689655172375865E-2</v>
      </c>
    </row>
    <row r="47" spans="1:103" x14ac:dyDescent="0.25">
      <c r="A47" s="33" t="s">
        <v>243</v>
      </c>
      <c r="B47" s="39" t="s">
        <v>26</v>
      </c>
      <c r="C47" s="35"/>
      <c r="D47" s="42">
        <v>99.1</v>
      </c>
      <c r="E47" s="10">
        <v>1550.0003480000005</v>
      </c>
      <c r="F47" s="9">
        <v>117</v>
      </c>
      <c r="G47" s="127">
        <v>99.41</v>
      </c>
      <c r="H47" s="10">
        <v>38</v>
      </c>
      <c r="I47" s="10">
        <v>3</v>
      </c>
      <c r="J47" s="127">
        <v>99.61</v>
      </c>
      <c r="K47" s="10">
        <v>31.5</v>
      </c>
      <c r="L47" s="10">
        <v>2</v>
      </c>
      <c r="M47" s="127">
        <v>99.45</v>
      </c>
      <c r="N47" s="10">
        <v>37.5</v>
      </c>
      <c r="O47" s="10">
        <v>3</v>
      </c>
      <c r="P47" s="127">
        <v>99.28</v>
      </c>
      <c r="Q47" s="10">
        <v>55.5</v>
      </c>
      <c r="R47" s="10">
        <v>4</v>
      </c>
      <c r="S47" s="127">
        <v>99.42</v>
      </c>
      <c r="T47" s="10">
        <v>51</v>
      </c>
      <c r="U47" s="10">
        <v>4</v>
      </c>
      <c r="V47" s="127">
        <v>99.19</v>
      </c>
      <c r="W47" s="10">
        <v>38</v>
      </c>
      <c r="X47" s="10">
        <v>3</v>
      </c>
      <c r="Y47" s="127">
        <v>99.3</v>
      </c>
      <c r="Z47" s="10">
        <v>73</v>
      </c>
      <c r="AA47" s="10">
        <v>6</v>
      </c>
      <c r="AB47" s="127">
        <v>99.28</v>
      </c>
      <c r="AC47" s="10">
        <v>75</v>
      </c>
      <c r="AD47" s="10">
        <v>6</v>
      </c>
      <c r="AE47" s="127">
        <v>99.37</v>
      </c>
      <c r="AF47" s="10">
        <v>44.5</v>
      </c>
      <c r="AG47" s="10">
        <v>3</v>
      </c>
      <c r="AH47" s="107">
        <v>99.57</v>
      </c>
      <c r="AI47" s="10">
        <v>76.5</v>
      </c>
      <c r="AJ47" s="10">
        <v>5</v>
      </c>
      <c r="AK47" s="107">
        <v>99.24</v>
      </c>
      <c r="AL47" s="10">
        <v>48.95</v>
      </c>
      <c r="AM47" s="10">
        <v>4</v>
      </c>
      <c r="AN47" s="125">
        <v>99.02</v>
      </c>
      <c r="AO47" s="10">
        <v>63.4</v>
      </c>
      <c r="AP47" s="10">
        <v>5</v>
      </c>
      <c r="AQ47" s="125">
        <v>98.69</v>
      </c>
      <c r="AR47" s="10">
        <v>72.599999999999994</v>
      </c>
      <c r="AS47" s="10">
        <v>5</v>
      </c>
      <c r="AT47" s="107">
        <v>99.46</v>
      </c>
      <c r="AU47" s="10">
        <f>30500/1000</f>
        <v>30.5</v>
      </c>
      <c r="AV47" s="10">
        <v>2</v>
      </c>
      <c r="AW47" s="107">
        <v>99.45</v>
      </c>
      <c r="AX47" s="10">
        <f>44000/1000</f>
        <v>44</v>
      </c>
      <c r="AY47" s="10">
        <v>3</v>
      </c>
      <c r="AZ47" s="115">
        <v>99.09</v>
      </c>
      <c r="BA47" s="10">
        <f>50300/1000</f>
        <v>50.3</v>
      </c>
      <c r="BB47" s="10">
        <v>4</v>
      </c>
      <c r="BC47" s="107">
        <v>99.71</v>
      </c>
      <c r="BD47" s="120">
        <f>38000/1000</f>
        <v>38</v>
      </c>
      <c r="BE47" s="120">
        <v>2</v>
      </c>
      <c r="BF47" s="107">
        <v>99.3</v>
      </c>
      <c r="BG47" s="120">
        <f>19000/1000</f>
        <v>19</v>
      </c>
      <c r="BH47" s="123">
        <v>1</v>
      </c>
      <c r="BI47" s="107">
        <v>99.73</v>
      </c>
      <c r="BJ47" s="120">
        <f>37000/1000</f>
        <v>37</v>
      </c>
      <c r="BK47" s="120">
        <v>2</v>
      </c>
      <c r="BL47" s="107">
        <v>99.32</v>
      </c>
      <c r="BM47" s="10">
        <f>13000/1000</f>
        <v>13</v>
      </c>
      <c r="BN47" s="10">
        <v>1</v>
      </c>
      <c r="BO47" s="107">
        <v>99.6</v>
      </c>
      <c r="BP47" s="10">
        <f>31000/1000</f>
        <v>31</v>
      </c>
      <c r="BQ47" s="10">
        <v>2</v>
      </c>
      <c r="BR47" s="107">
        <v>99.68</v>
      </c>
      <c r="BS47" s="10">
        <f>19000/1000</f>
        <v>19</v>
      </c>
      <c r="BT47" s="10">
        <v>2</v>
      </c>
      <c r="BU47" s="107">
        <v>99.62</v>
      </c>
      <c r="BV47" s="10">
        <f>33000/1000</f>
        <v>33</v>
      </c>
      <c r="BW47" s="10">
        <v>2</v>
      </c>
      <c r="BX47" s="107">
        <v>99.43</v>
      </c>
      <c r="BY47" s="10">
        <f>51000/1000</f>
        <v>51</v>
      </c>
      <c r="BZ47" s="10">
        <v>5</v>
      </c>
      <c r="CA47" s="107">
        <v>99.36</v>
      </c>
      <c r="CB47" s="10">
        <f>45000/1000</f>
        <v>45</v>
      </c>
      <c r="CC47" s="10">
        <v>3</v>
      </c>
      <c r="CD47" s="107">
        <v>99.42</v>
      </c>
      <c r="CE47" s="10">
        <f>63500/1000</f>
        <v>63.5</v>
      </c>
      <c r="CF47" s="10">
        <v>5</v>
      </c>
      <c r="CG47" s="125">
        <v>98.77</v>
      </c>
      <c r="CH47" s="10">
        <f>30000/1000</f>
        <v>30</v>
      </c>
      <c r="CI47" s="10">
        <v>3</v>
      </c>
      <c r="CJ47" s="107">
        <v>99.5</v>
      </c>
      <c r="CK47" s="10">
        <f>37500/1000</f>
        <v>37.5</v>
      </c>
      <c r="CL47" s="10">
        <v>3</v>
      </c>
      <c r="CM47" s="125">
        <v>96.32</v>
      </c>
      <c r="CN47" s="10">
        <f>93000/1000</f>
        <v>93</v>
      </c>
      <c r="CO47" s="10">
        <v>8</v>
      </c>
      <c r="CP47" s="42"/>
      <c r="CQ47" s="10"/>
      <c r="CR47" s="10"/>
      <c r="CS47" s="42"/>
      <c r="CT47" s="10"/>
      <c r="CU47" s="10"/>
      <c r="CV47" s="42">
        <f>AVERAGE(G47,J47,M47,P47,S47,V47,Y47,AB47,AE47,AH47,AK47,AN47,AQ47,AT47,AW47,AZ47,BC47,BF47,BI47,BL47,BO47,BR47,BU47,BX47,CA47,CD47,CG47,CJ47,CM47,CP47,CS47)</f>
        <v>99.261724137931026</v>
      </c>
      <c r="CW47" s="22">
        <f t="shared" si="7"/>
        <v>1340.25</v>
      </c>
      <c r="CX47" s="22">
        <f t="shared" si="7"/>
        <v>101</v>
      </c>
      <c r="CY47" s="67">
        <f t="shared" ref="CY47:CY49" si="8">CV47-D47</f>
        <v>0.16172413793103146</v>
      </c>
    </row>
    <row r="48" spans="1:103" ht="12" thickBot="1" x14ac:dyDescent="0.3">
      <c r="A48" s="33"/>
      <c r="B48" s="76" t="s">
        <v>27</v>
      </c>
      <c r="C48" s="72"/>
      <c r="D48" s="74">
        <v>99.2</v>
      </c>
      <c r="E48" s="20">
        <v>1200</v>
      </c>
      <c r="F48" s="4">
        <v>94</v>
      </c>
      <c r="G48" s="128">
        <v>99.53</v>
      </c>
      <c r="H48" s="20">
        <v>17</v>
      </c>
      <c r="I48" s="20">
        <v>1</v>
      </c>
      <c r="J48" s="128">
        <v>99.51</v>
      </c>
      <c r="K48" s="20">
        <v>22</v>
      </c>
      <c r="L48" s="20">
        <v>2</v>
      </c>
      <c r="M48" s="136">
        <v>98.78</v>
      </c>
      <c r="N48" s="20">
        <v>18.927</v>
      </c>
      <c r="O48" s="20">
        <v>2</v>
      </c>
      <c r="P48" s="128">
        <v>99.7</v>
      </c>
      <c r="Q48" s="20">
        <v>33</v>
      </c>
      <c r="R48" s="20">
        <v>2</v>
      </c>
      <c r="S48" s="128">
        <v>99.62</v>
      </c>
      <c r="T48" s="20">
        <v>63.134</v>
      </c>
      <c r="U48" s="20">
        <v>4</v>
      </c>
      <c r="V48" s="128">
        <v>99.51</v>
      </c>
      <c r="W48" s="20">
        <v>46</v>
      </c>
      <c r="X48" s="20">
        <v>3</v>
      </c>
      <c r="Y48" s="128">
        <v>99.63</v>
      </c>
      <c r="Z48" s="20">
        <v>68.989999999999995</v>
      </c>
      <c r="AA48" s="20">
        <v>6</v>
      </c>
      <c r="AB48" s="128">
        <v>99.56</v>
      </c>
      <c r="AC48" s="20">
        <v>66.355999999999995</v>
      </c>
      <c r="AD48" s="20">
        <v>5</v>
      </c>
      <c r="AE48" s="128">
        <v>99.56</v>
      </c>
      <c r="AF48" s="20">
        <v>50.151000000000003</v>
      </c>
      <c r="AG48" s="20">
        <v>5</v>
      </c>
      <c r="AH48" s="108">
        <v>99.58</v>
      </c>
      <c r="AI48" s="20">
        <v>65.2</v>
      </c>
      <c r="AJ48" s="20">
        <v>5</v>
      </c>
      <c r="AK48" s="108">
        <v>99.49</v>
      </c>
      <c r="AL48" s="20">
        <v>38</v>
      </c>
      <c r="AM48" s="20">
        <v>3</v>
      </c>
      <c r="AN48" s="108">
        <v>99.39</v>
      </c>
      <c r="AO48" s="20">
        <v>80.744</v>
      </c>
      <c r="AP48" s="20">
        <v>6</v>
      </c>
      <c r="AQ48" s="108">
        <v>99.35</v>
      </c>
      <c r="AR48" s="20">
        <v>55.463999999999999</v>
      </c>
      <c r="AS48" s="20">
        <v>6</v>
      </c>
      <c r="AT48" s="108">
        <v>99.38</v>
      </c>
      <c r="AU48" s="20">
        <f>24665/1000</f>
        <v>24.664999999999999</v>
      </c>
      <c r="AV48" s="20">
        <v>2</v>
      </c>
      <c r="AW48" s="108">
        <v>99.26</v>
      </c>
      <c r="AX48" s="20">
        <f>38000/1000</f>
        <v>38</v>
      </c>
      <c r="AY48" s="20">
        <v>3</v>
      </c>
      <c r="AZ48" s="108">
        <v>99.68</v>
      </c>
      <c r="BA48" s="20">
        <f>12644/1000</f>
        <v>12.644</v>
      </c>
      <c r="BB48" s="20">
        <v>1</v>
      </c>
      <c r="BC48" s="121"/>
      <c r="BD48" s="122">
        <v>0</v>
      </c>
      <c r="BE48" s="122">
        <v>0</v>
      </c>
      <c r="BF48" s="121"/>
      <c r="BG48" s="122">
        <v>0</v>
      </c>
      <c r="BH48" s="122">
        <v>0</v>
      </c>
      <c r="BI48" s="108">
        <v>99.63</v>
      </c>
      <c r="BJ48" s="122">
        <f>37000/1000</f>
        <v>37</v>
      </c>
      <c r="BK48" s="122">
        <v>2</v>
      </c>
      <c r="BL48" s="108">
        <v>99.45</v>
      </c>
      <c r="BM48" s="20">
        <f>23800/1000</f>
        <v>23.8</v>
      </c>
      <c r="BN48" s="20">
        <v>2</v>
      </c>
      <c r="BO48" s="108">
        <v>99.65</v>
      </c>
      <c r="BP48" s="20">
        <f>37000/1000</f>
        <v>37</v>
      </c>
      <c r="BQ48" s="20">
        <v>2</v>
      </c>
      <c r="BR48" s="108">
        <v>99.72</v>
      </c>
      <c r="BS48" s="20">
        <f>25000/1000</f>
        <v>25</v>
      </c>
      <c r="BT48" s="20">
        <v>1</v>
      </c>
      <c r="BU48" s="108">
        <v>99.71</v>
      </c>
      <c r="BV48" s="20">
        <f>57000/1000</f>
        <v>57</v>
      </c>
      <c r="BW48" s="20">
        <v>4</v>
      </c>
      <c r="BX48" s="108">
        <v>99.65</v>
      </c>
      <c r="BY48" s="20">
        <f>86399/1000</f>
        <v>86.399000000000001</v>
      </c>
      <c r="BZ48" s="20">
        <v>7</v>
      </c>
      <c r="CA48" s="108">
        <v>99.64</v>
      </c>
      <c r="CB48" s="20">
        <f>49389/1000</f>
        <v>49.389000000000003</v>
      </c>
      <c r="CC48" s="20">
        <v>5</v>
      </c>
      <c r="CD48" s="108">
        <v>99.48</v>
      </c>
      <c r="CE48" s="20">
        <f>13000/1000</f>
        <v>13</v>
      </c>
      <c r="CF48" s="20">
        <v>1</v>
      </c>
      <c r="CG48" s="108">
        <v>99.8</v>
      </c>
      <c r="CH48" s="20">
        <f>38000/1000</f>
        <v>38</v>
      </c>
      <c r="CI48" s="20">
        <v>2</v>
      </c>
      <c r="CJ48" s="74"/>
      <c r="CK48" s="20">
        <v>0</v>
      </c>
      <c r="CL48" s="20">
        <v>0</v>
      </c>
      <c r="CM48" s="108">
        <v>99.65</v>
      </c>
      <c r="CN48" s="20">
        <f>17090/1000</f>
        <v>17.09</v>
      </c>
      <c r="CO48" s="20">
        <v>1</v>
      </c>
      <c r="CP48" s="74"/>
      <c r="CQ48" s="20"/>
      <c r="CR48" s="20"/>
      <c r="CS48" s="74"/>
      <c r="CT48" s="20"/>
      <c r="CU48" s="20"/>
      <c r="CV48" s="74">
        <f>AVERAGE(G48,J48,M48,P48,S48,V48,Y48,AB48,AE48,AH48,AK48,AN48,AQ48,AT48,AW48,AZ48,BC48,BF48,BI48,BL48,BO48,BR48,BU48,BX48,CA48,CD48,CG48,CJ48,CM48,CP48,CS48)</f>
        <v>99.535000000000025</v>
      </c>
      <c r="CW48" s="63">
        <f t="shared" si="7"/>
        <v>1083.9529999999997</v>
      </c>
      <c r="CX48" s="63">
        <f t="shared" si="7"/>
        <v>83</v>
      </c>
      <c r="CY48" s="67">
        <f t="shared" si="8"/>
        <v>0.33500000000002217</v>
      </c>
    </row>
    <row r="49" spans="1:103" ht="12" thickBot="1" x14ac:dyDescent="0.3">
      <c r="A49" s="34"/>
      <c r="B49" s="77" t="s">
        <v>244</v>
      </c>
      <c r="C49" s="78"/>
      <c r="D49" s="75">
        <v>99</v>
      </c>
      <c r="E49" s="21">
        <f>SUM(E46:E48)</f>
        <v>3550.0003480000005</v>
      </c>
      <c r="F49" s="21">
        <f>SUM(F46:F48)</f>
        <v>359</v>
      </c>
      <c r="G49" s="24">
        <f>(G46*H46/H49)+(G47*H47/H49)+(G48*H48/H49)</f>
        <v>99.063085321130004</v>
      </c>
      <c r="H49" s="79">
        <f>SUM(H46:H48)</f>
        <v>94.619</v>
      </c>
      <c r="I49" s="79">
        <f>SUM(I46:I48)</f>
        <v>9</v>
      </c>
      <c r="J49" s="24">
        <f>(J46*K46/K49)+(J47*K47/K49)+(J48*K48/K49)</f>
        <v>99.285464923054704</v>
      </c>
      <c r="K49" s="79">
        <f>SUM(K46:K48)</f>
        <v>69.204999999999998</v>
      </c>
      <c r="L49" s="79">
        <f>SUM(L46:L48)</f>
        <v>8</v>
      </c>
      <c r="M49" s="24">
        <f>(M46*N46/N49)+(M47*N47/N49)+(M48*N48/N49)</f>
        <v>99.056600671140941</v>
      </c>
      <c r="N49" s="79">
        <f>SUM(N46:N48)</f>
        <v>74.5</v>
      </c>
      <c r="O49" s="79">
        <f>SUM(O46:O48)</f>
        <v>7</v>
      </c>
      <c r="P49" s="24">
        <f>(P46*Q46/Q49)+(P47*Q47/Q49)+(P48*Q48/Q49)</f>
        <v>99.290179986416121</v>
      </c>
      <c r="Q49" s="79">
        <f>SUM(Q46:Q48)</f>
        <v>106.008</v>
      </c>
      <c r="R49" s="79">
        <f>SUM(R46:R48)</f>
        <v>8</v>
      </c>
      <c r="S49" s="24">
        <f>(S46*T46/T49)+(S47*T47/T49)+(S48*T48/T49)</f>
        <v>99.474182362981239</v>
      </c>
      <c r="T49" s="79">
        <f>SUM(T46:T48)</f>
        <v>131.82499999999999</v>
      </c>
      <c r="U49" s="79">
        <f>SUM(U46:U48)</f>
        <v>11</v>
      </c>
      <c r="V49" s="24">
        <f>(V46*W46/W49)+(V47*W47/W49)+(V48*W48/W49)</f>
        <v>99.278790991351514</v>
      </c>
      <c r="W49" s="79">
        <f>SUM(W46:W48)</f>
        <v>89.957999999999998</v>
      </c>
      <c r="X49" s="79">
        <f>SUM(X46:X48)</f>
        <v>9</v>
      </c>
      <c r="Y49" s="24">
        <f>(Y46*Z46/Z49)+(Y47*Z47/Z49)+(Y48*Z48/Z49)</f>
        <v>99.344670754123598</v>
      </c>
      <c r="Z49" s="79">
        <f>SUM(Z46:Z48)</f>
        <v>163.75299999999999</v>
      </c>
      <c r="AA49" s="79">
        <f>SUM(AA46:AA48)</f>
        <v>15</v>
      </c>
      <c r="AB49" s="24">
        <f>(AB46*AC46/AC49)+(AB47*AC47/AC49)+(AB48*AC48/AC49)</f>
        <v>99.180580844093271</v>
      </c>
      <c r="AC49" s="79">
        <f>SUM(AC46:AC48)</f>
        <v>181.61500000000001</v>
      </c>
      <c r="AD49" s="79">
        <f>SUM(AD46:AD48)</f>
        <v>17</v>
      </c>
      <c r="AE49" s="24">
        <f>(AE46*AF46/AF49)+(AE47*AF47/AF49)+(AE48*AF48/AF49)</f>
        <v>99.231512001586992</v>
      </c>
      <c r="AF49" s="79">
        <f t="shared" ref="AF49:AP49" si="9">SUM(AF46:AF48)</f>
        <v>126.02500000000001</v>
      </c>
      <c r="AG49" s="79">
        <f t="shared" si="9"/>
        <v>14</v>
      </c>
      <c r="AH49" s="24">
        <f>(AH46*AI46/AI49)+(AH47*AI47/AI49)+(AH48*AI48/AI49)</f>
        <v>99.455990379346019</v>
      </c>
      <c r="AI49" s="21">
        <f t="shared" si="9"/>
        <v>164.23000000000002</v>
      </c>
      <c r="AJ49" s="21">
        <f t="shared" si="9"/>
        <v>13</v>
      </c>
      <c r="AK49" s="80">
        <f>(AK46*AL46/AL49)+(AK47*AL47/AL49)+(AK48*AL48/AL49)</f>
        <v>98.962616603109424</v>
      </c>
      <c r="AL49" s="21">
        <f t="shared" si="9"/>
        <v>170.45</v>
      </c>
      <c r="AM49" s="21">
        <f t="shared" si="9"/>
        <v>9</v>
      </c>
      <c r="AN49" s="80">
        <f>(AN46*AO46/AO49)+(AN47*AO47/AO49)+(AN48*AO48/AO49)</f>
        <v>99.199455788341027</v>
      </c>
      <c r="AO49" s="21">
        <f t="shared" si="9"/>
        <v>157.99</v>
      </c>
      <c r="AP49" s="21">
        <f t="shared" si="9"/>
        <v>14</v>
      </c>
      <c r="AQ49" s="80">
        <f>(AQ46*AR46/AR49)+(AQ47*AR47/AR49)+(AQ48*AR48/AR49)</f>
        <v>98.845296872238904</v>
      </c>
      <c r="AR49" s="79">
        <v>181.08799999999999</v>
      </c>
      <c r="AS49" s="79">
        <v>21</v>
      </c>
      <c r="AT49" s="80">
        <f>(AT46*AU46/AU49)+(AT47*AU47/AU49)+(AT48*AU48/AU49)</f>
        <v>99.413453515413266</v>
      </c>
      <c r="AU49" s="79">
        <f>SUM(AU46:AU48)</f>
        <v>57.190999999999995</v>
      </c>
      <c r="AV49" s="79">
        <f>SUM(AV46:AV48)</f>
        <v>5</v>
      </c>
      <c r="AW49" s="80">
        <f>(AW46*AX46/AX49)+(AW47*AX47/AX49)+(AW48*AX48/AX49)</f>
        <v>98.940705038870334</v>
      </c>
      <c r="AX49" s="79">
        <f>SUM(AX46:AX48)</f>
        <v>119.114</v>
      </c>
      <c r="AY49" s="79">
        <f>SUM(AY46:AY48)</f>
        <v>16</v>
      </c>
      <c r="AZ49" s="80">
        <f>(AZ46*BA46/BA49)+(AZ47*BA47/BA49)+(AZ48*BA48/BA49)</f>
        <v>98.614427712075937</v>
      </c>
      <c r="BA49" s="79">
        <f>SUM(BA46:BA48)</f>
        <v>97.748000000000005</v>
      </c>
      <c r="BB49" s="79">
        <f>SUM(BB46:BB48)</f>
        <v>13</v>
      </c>
      <c r="BC49" s="80">
        <f>(BC46*BD46/BD49)+(BC47*BD47/BD49)+(BC48*BD48/BD49)</f>
        <v>99.230551090083082</v>
      </c>
      <c r="BD49" s="79">
        <f>SUM(BD46:BD48)</f>
        <v>74.397999999999996</v>
      </c>
      <c r="BE49" s="79">
        <f>SUM(BE46:BE48)</f>
        <v>9</v>
      </c>
      <c r="BF49" s="80">
        <f>(BF46*BG46/BG49)+(BF47*BG47/BG49)+(BF48*BG48/BG49)</f>
        <v>99.236109265411585</v>
      </c>
      <c r="BG49" s="79">
        <f>SUM(BG46:BG48)</f>
        <v>40.635000000000005</v>
      </c>
      <c r="BH49" s="79">
        <f>SUM(BH46:BH48)</f>
        <v>6</v>
      </c>
      <c r="BI49" s="80">
        <f>(BI46*BJ46/BJ49)+(BI47*BJ47/BJ49)+(BI48*BJ48/BJ49)</f>
        <v>99.42350201434607</v>
      </c>
      <c r="BJ49" s="79">
        <f>SUM(BJ46:BJ48)</f>
        <v>101.77</v>
      </c>
      <c r="BK49" s="79">
        <f>SUM(BK46:BK48)</f>
        <v>9</v>
      </c>
      <c r="BL49" s="80">
        <f>(BL46*BM46/BM49)+(BL47*BM47/BM49)+(BL48*BM48/BM49)</f>
        <v>98.855688672621284</v>
      </c>
      <c r="BM49" s="79">
        <f>SUM(BM46:BM48)</f>
        <v>61.241</v>
      </c>
      <c r="BN49" s="79">
        <f>SUM(BN46:BN48)</f>
        <v>12</v>
      </c>
      <c r="BO49" s="80">
        <f>(BO46*BP46/BP49)+(BO47*BP47/BP49)+(BO48*BP48/BP49)</f>
        <v>98.651006748959674</v>
      </c>
      <c r="BP49" s="79">
        <f>SUM(BP46:BP48)</f>
        <v>114.38800000000001</v>
      </c>
      <c r="BQ49" s="79">
        <f>SUM(BQ46:BQ48)</f>
        <v>12</v>
      </c>
      <c r="BR49" s="80">
        <f>(BR46*BS46/BS49)+(BR47*BS47/BS49)+(BR48*BS48/BS49)</f>
        <v>97.769895927231005</v>
      </c>
      <c r="BS49" s="79">
        <f>SUM(BS46:BS48)</f>
        <v>122.03</v>
      </c>
      <c r="BT49" s="79">
        <f>SUM(BT46:BT48)</f>
        <v>15</v>
      </c>
      <c r="BU49" s="80">
        <f>(BU46*BV46/BV49)+(BU47*BV47/BV49)+(BU48*BV48/BV49)</f>
        <v>99.227189981673803</v>
      </c>
      <c r="BV49" s="79">
        <f>SUM(BV46:BV48)</f>
        <v>140.78199999999998</v>
      </c>
      <c r="BW49" s="79">
        <f>SUM(BW46:BW48)</f>
        <v>14</v>
      </c>
      <c r="BX49" s="80"/>
      <c r="BY49" s="79"/>
      <c r="BZ49" s="79"/>
      <c r="CA49" s="80"/>
      <c r="CB49" s="79"/>
      <c r="CC49" s="79"/>
      <c r="CD49" s="80"/>
      <c r="CE49" s="79"/>
      <c r="CF49" s="79"/>
      <c r="CG49" s="80"/>
      <c r="CH49" s="79"/>
      <c r="CI49" s="79"/>
      <c r="CJ49" s="80"/>
      <c r="CK49" s="79"/>
      <c r="CL49" s="79"/>
      <c r="CM49" s="80"/>
      <c r="CN49" s="79"/>
      <c r="CO49" s="79"/>
      <c r="CP49" s="80"/>
      <c r="CQ49" s="79"/>
      <c r="CR49" s="79"/>
      <c r="CS49" s="80"/>
      <c r="CT49" s="79"/>
      <c r="CU49" s="79"/>
      <c r="CV49" s="80">
        <f>(CV46*CW46/CW49)+(CV47*CW47/CW49)+(CV48*CW48/CW49)</f>
        <v>99.127464954412787</v>
      </c>
      <c r="CW49" s="21">
        <f>SUM(CW46:CW48)</f>
        <v>3370.7820000000002</v>
      </c>
      <c r="CX49" s="21">
        <f>SUM(CX46:CX48)</f>
        <v>338</v>
      </c>
      <c r="CY49" s="68">
        <f t="shared" si="8"/>
        <v>0.12746495441278682</v>
      </c>
    </row>
    <row r="53" spans="1:103" x14ac:dyDescent="0.25">
      <c r="BO53" s="1" t="s">
        <v>282</v>
      </c>
    </row>
    <row r="55" spans="1:103" x14ac:dyDescent="0.25">
      <c r="A55" s="112" t="s">
        <v>60</v>
      </c>
      <c r="B55" s="112" t="s">
        <v>61</v>
      </c>
      <c r="C55" s="112" t="s">
        <v>62</v>
      </c>
      <c r="D55" s="112" t="s">
        <v>245</v>
      </c>
      <c r="E55" s="112" t="s">
        <v>64</v>
      </c>
      <c r="F55" s="112" t="s">
        <v>65</v>
      </c>
    </row>
    <row r="56" spans="1:103" ht="46" x14ac:dyDescent="0.25">
      <c r="A56" s="195">
        <v>46218</v>
      </c>
      <c r="B56" s="193" t="s">
        <v>246</v>
      </c>
      <c r="C56" s="110" t="s">
        <v>247</v>
      </c>
      <c r="D56" s="111" t="s">
        <v>248</v>
      </c>
      <c r="E56" s="111" t="s">
        <v>249</v>
      </c>
      <c r="F56" s="111" t="s">
        <v>250</v>
      </c>
    </row>
    <row r="57" spans="1:103" ht="23" x14ac:dyDescent="0.25">
      <c r="A57" s="195"/>
      <c r="B57" s="194"/>
      <c r="C57" s="117" t="s">
        <v>283</v>
      </c>
      <c r="D57" s="118" t="s">
        <v>275</v>
      </c>
      <c r="E57" s="118" t="s">
        <v>276</v>
      </c>
      <c r="F57" s="118" t="s">
        <v>267</v>
      </c>
    </row>
    <row r="58" spans="1:103" ht="46" x14ac:dyDescent="0.25">
      <c r="A58" s="196">
        <v>46219</v>
      </c>
      <c r="B58" s="111" t="s">
        <v>246</v>
      </c>
      <c r="C58" s="135" t="s">
        <v>247</v>
      </c>
      <c r="D58" s="111" t="s">
        <v>248</v>
      </c>
      <c r="E58" s="111" t="s">
        <v>249</v>
      </c>
      <c r="F58" s="111" t="s">
        <v>250</v>
      </c>
    </row>
    <row r="59" spans="1:103" ht="34.5" x14ac:dyDescent="0.25">
      <c r="A59" s="197"/>
      <c r="B59" s="118" t="s">
        <v>26</v>
      </c>
      <c r="C59" s="135" t="s">
        <v>284</v>
      </c>
      <c r="D59" s="111" t="s">
        <v>248</v>
      </c>
      <c r="E59" s="111" t="s">
        <v>249</v>
      </c>
      <c r="F59" s="111" t="s">
        <v>250</v>
      </c>
    </row>
    <row r="60" spans="1:103" ht="40.5" customHeight="1" x14ac:dyDescent="0.25">
      <c r="A60" s="131">
        <v>46223</v>
      </c>
      <c r="B60" s="111" t="s">
        <v>246</v>
      </c>
      <c r="C60" s="114" t="s">
        <v>247</v>
      </c>
      <c r="D60" s="111" t="s">
        <v>248</v>
      </c>
      <c r="E60" s="111" t="s">
        <v>249</v>
      </c>
      <c r="F60" s="111" t="s">
        <v>250</v>
      </c>
    </row>
    <row r="61" spans="1:103" ht="55.5" customHeight="1" x14ac:dyDescent="0.25">
      <c r="A61" s="131">
        <v>46224</v>
      </c>
      <c r="B61" s="111" t="s">
        <v>246</v>
      </c>
      <c r="C61" s="114" t="s">
        <v>285</v>
      </c>
      <c r="D61" s="111" t="s">
        <v>264</v>
      </c>
      <c r="E61" s="111" t="s">
        <v>253</v>
      </c>
      <c r="F61" s="111" t="s">
        <v>250</v>
      </c>
    </row>
    <row r="62" spans="1:103" ht="57.5" x14ac:dyDescent="0.25">
      <c r="A62" s="131">
        <v>46225</v>
      </c>
      <c r="B62" s="111" t="s">
        <v>246</v>
      </c>
      <c r="C62" s="114" t="s">
        <v>286</v>
      </c>
      <c r="D62" s="111" t="s">
        <v>287</v>
      </c>
      <c r="E62" s="111" t="s">
        <v>253</v>
      </c>
      <c r="F62" s="111" t="s">
        <v>281</v>
      </c>
    </row>
    <row r="63" spans="1:103" ht="34.5" x14ac:dyDescent="0.25">
      <c r="A63" s="131">
        <v>46226</v>
      </c>
      <c r="B63" s="111" t="s">
        <v>26</v>
      </c>
      <c r="C63" s="114" t="s">
        <v>288</v>
      </c>
      <c r="D63" s="118" t="s">
        <v>289</v>
      </c>
      <c r="E63" s="118" t="s">
        <v>253</v>
      </c>
      <c r="F63" s="118" t="s">
        <v>250</v>
      </c>
    </row>
    <row r="64" spans="1:103" ht="23" x14ac:dyDescent="0.25">
      <c r="A64" s="184">
        <v>46232</v>
      </c>
      <c r="B64" s="138" t="s">
        <v>246</v>
      </c>
      <c r="C64" s="141" t="s">
        <v>274</v>
      </c>
      <c r="D64" s="118" t="s">
        <v>275</v>
      </c>
      <c r="E64" s="118" t="s">
        <v>276</v>
      </c>
      <c r="F64" s="118" t="s">
        <v>267</v>
      </c>
    </row>
    <row r="65" spans="1:6" ht="24" customHeight="1" x14ac:dyDescent="0.25">
      <c r="A65" s="198"/>
      <c r="B65" s="140" t="s">
        <v>26</v>
      </c>
      <c r="C65" s="142" t="s">
        <v>290</v>
      </c>
      <c r="D65" s="111" t="s">
        <v>291</v>
      </c>
      <c r="E65" s="111" t="s">
        <v>253</v>
      </c>
      <c r="F65" s="111" t="s">
        <v>250</v>
      </c>
    </row>
    <row r="66" spans="1:6" x14ac:dyDescent="0.25">
      <c r="A66" s="116"/>
      <c r="B66" s="116"/>
      <c r="C66" s="116"/>
      <c r="D66" s="116"/>
      <c r="E66" s="116"/>
      <c r="F66" s="116"/>
    </row>
    <row r="67" spans="1:6" x14ac:dyDescent="0.25">
      <c r="A67" s="116"/>
      <c r="B67" s="116"/>
      <c r="C67" s="116"/>
      <c r="D67" s="116"/>
      <c r="E67" s="116"/>
      <c r="F67" s="116"/>
    </row>
    <row r="68" spans="1:6" x14ac:dyDescent="0.25">
      <c r="A68" s="116"/>
      <c r="B68" s="116"/>
      <c r="C68" s="116"/>
      <c r="D68" s="116"/>
      <c r="E68" s="116"/>
      <c r="F68" s="116"/>
    </row>
    <row r="69" spans="1:6" x14ac:dyDescent="0.25">
      <c r="A69" s="116"/>
      <c r="B69" s="116"/>
      <c r="C69" s="116"/>
      <c r="D69" s="116"/>
      <c r="E69" s="116"/>
      <c r="F69" s="116"/>
    </row>
    <row r="70" spans="1:6" x14ac:dyDescent="0.25">
      <c r="A70" s="116"/>
      <c r="B70" s="116"/>
      <c r="C70" s="116"/>
      <c r="D70" s="116"/>
      <c r="E70" s="116"/>
      <c r="F70" s="116"/>
    </row>
    <row r="71" spans="1:6" x14ac:dyDescent="0.25">
      <c r="A71" s="116"/>
      <c r="B71" s="116"/>
      <c r="C71" s="116"/>
      <c r="D71" s="116"/>
      <c r="E71" s="116"/>
      <c r="F71" s="116"/>
    </row>
    <row r="72" spans="1:6" x14ac:dyDescent="0.25">
      <c r="A72" s="116"/>
      <c r="B72" s="116"/>
      <c r="C72" s="116"/>
      <c r="D72" s="116"/>
      <c r="E72" s="116"/>
      <c r="F72" s="116"/>
    </row>
    <row r="73" spans="1:6" x14ac:dyDescent="0.25">
      <c r="A73" s="116"/>
      <c r="B73" s="116"/>
      <c r="C73" s="116"/>
      <c r="D73" s="116"/>
      <c r="E73" s="116"/>
      <c r="F73" s="116"/>
    </row>
  </sheetData>
  <mergeCells count="40">
    <mergeCell ref="B56:B57"/>
    <mergeCell ref="A56:A57"/>
    <mergeCell ref="A58:A59"/>
    <mergeCell ref="A64:A65"/>
    <mergeCell ref="G3:I3"/>
    <mergeCell ref="B27:B28"/>
    <mergeCell ref="A27:A28"/>
    <mergeCell ref="A18:A22"/>
    <mergeCell ref="B18:B21"/>
    <mergeCell ref="A16:A17"/>
    <mergeCell ref="J3:L3"/>
    <mergeCell ref="M3:O3"/>
    <mergeCell ref="P3:R3"/>
    <mergeCell ref="S3:U3"/>
    <mergeCell ref="V3:X3"/>
    <mergeCell ref="Y3:AA3"/>
    <mergeCell ref="AB3:AD3"/>
    <mergeCell ref="AE3:AG3"/>
    <mergeCell ref="AH3:AJ3"/>
    <mergeCell ref="AK3:AM3"/>
    <mergeCell ref="AN3:AP3"/>
    <mergeCell ref="AQ3:AS3"/>
    <mergeCell ref="AT3:AV3"/>
    <mergeCell ref="AW3:AY3"/>
    <mergeCell ref="AZ3:BB3"/>
    <mergeCell ref="BC3:BE3"/>
    <mergeCell ref="BF3:BH3"/>
    <mergeCell ref="BI3:BK3"/>
    <mergeCell ref="BL3:BN3"/>
    <mergeCell ref="BO3:BQ3"/>
    <mergeCell ref="BR3:BT3"/>
    <mergeCell ref="BU3:BW3"/>
    <mergeCell ref="BX3:BZ3"/>
    <mergeCell ref="CA3:CC3"/>
    <mergeCell ref="CD3:CF3"/>
    <mergeCell ref="CG3:CI3"/>
    <mergeCell ref="CJ3:CL3"/>
    <mergeCell ref="CM3:CO3"/>
    <mergeCell ref="CP3:CR3"/>
    <mergeCell ref="CS3:CU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E5C8-0F3F-43CC-B5D6-E151AA91567C}">
  <dimension ref="A2:AA26"/>
  <sheetViews>
    <sheetView showGridLines="0" workbookViewId="0">
      <pane xSplit="3" ySplit="3" topLeftCell="H4" activePane="bottomRight" state="frozen"/>
      <selection pane="topRight" activeCell="G1" sqref="G1"/>
      <selection pane="bottomLeft" activeCell="A4" sqref="A4"/>
      <selection pane="bottomRight" activeCell="X33" sqref="X33"/>
    </sheetView>
  </sheetViews>
  <sheetFormatPr defaultColWidth="8.54296875" defaultRowHeight="11.5" x14ac:dyDescent="0.25"/>
  <cols>
    <col min="1" max="1" width="8.54296875" style="1" bestFit="1" customWidth="1"/>
    <col min="2" max="2" width="11.453125" style="1" bestFit="1" customWidth="1"/>
    <col min="3" max="3" width="4.54296875" style="1" bestFit="1" customWidth="1"/>
    <col min="4" max="16384" width="8.54296875" style="1"/>
  </cols>
  <sheetData>
    <row r="2" spans="1:27" ht="12" thickBot="1" x14ac:dyDescent="0.3">
      <c r="D2" s="97" t="s">
        <v>292</v>
      </c>
      <c r="E2" s="98"/>
      <c r="F2" s="98"/>
      <c r="G2" s="98"/>
      <c r="H2" s="98"/>
      <c r="I2" s="98"/>
      <c r="J2" s="98"/>
      <c r="K2" s="98"/>
      <c r="L2" s="98"/>
      <c r="M2" s="98"/>
      <c r="N2" s="98"/>
      <c r="O2" s="99"/>
      <c r="P2" s="97" t="s">
        <v>293</v>
      </c>
      <c r="Q2" s="98"/>
      <c r="R2" s="98"/>
      <c r="S2" s="98"/>
      <c r="T2" s="98"/>
      <c r="U2" s="98"/>
      <c r="V2" s="98"/>
      <c r="W2" s="98"/>
      <c r="X2" s="98"/>
      <c r="Y2" s="98"/>
      <c r="Z2" s="98"/>
      <c r="AA2" s="99"/>
    </row>
    <row r="3" spans="1:27" ht="12" thickBot="1" x14ac:dyDescent="0.3">
      <c r="A3" s="31"/>
      <c r="B3" s="95" t="s">
        <v>34</v>
      </c>
      <c r="C3" s="96" t="s">
        <v>35</v>
      </c>
      <c r="D3" s="100" t="s">
        <v>294</v>
      </c>
      <c r="E3" s="100" t="s">
        <v>295</v>
      </c>
      <c r="F3" s="100" t="s">
        <v>296</v>
      </c>
      <c r="G3" s="100" t="s">
        <v>297</v>
      </c>
      <c r="H3" s="100" t="s">
        <v>298</v>
      </c>
      <c r="I3" s="100" t="s">
        <v>299</v>
      </c>
      <c r="J3" s="100" t="s">
        <v>300</v>
      </c>
      <c r="K3" s="100" t="s">
        <v>301</v>
      </c>
      <c r="L3" s="100" t="s">
        <v>302</v>
      </c>
      <c r="M3" s="100" t="s">
        <v>303</v>
      </c>
      <c r="N3" s="100" t="s">
        <v>304</v>
      </c>
      <c r="O3" s="100" t="s">
        <v>305</v>
      </c>
      <c r="P3" s="100" t="s">
        <v>306</v>
      </c>
      <c r="Q3" s="100" t="s">
        <v>295</v>
      </c>
      <c r="R3" s="100" t="s">
        <v>296</v>
      </c>
      <c r="S3" s="100" t="s">
        <v>297</v>
      </c>
      <c r="T3" s="100" t="s">
        <v>298</v>
      </c>
      <c r="U3" s="100" t="s">
        <v>299</v>
      </c>
      <c r="V3" s="100" t="s">
        <v>300</v>
      </c>
      <c r="W3" s="100" t="s">
        <v>301</v>
      </c>
      <c r="X3" s="100" t="s">
        <v>302</v>
      </c>
      <c r="Y3" s="100" t="s">
        <v>303</v>
      </c>
      <c r="Z3" s="100" t="s">
        <v>304</v>
      </c>
      <c r="AA3" s="100" t="s">
        <v>305</v>
      </c>
    </row>
    <row r="4" spans="1:27" x14ac:dyDescent="0.25">
      <c r="A4" s="27" t="s">
        <v>11</v>
      </c>
      <c r="B4" s="88" t="s">
        <v>40</v>
      </c>
      <c r="C4" s="89" t="s">
        <v>41</v>
      </c>
      <c r="D4" s="90">
        <v>0.91469999999999996</v>
      </c>
      <c r="E4" s="90">
        <v>0.90200000000000002</v>
      </c>
      <c r="F4" s="90">
        <v>0.91190000000000004</v>
      </c>
      <c r="G4" s="90">
        <v>0.90920000000000001</v>
      </c>
      <c r="H4" s="90">
        <v>0.91569999999999996</v>
      </c>
      <c r="I4" s="90">
        <v>0.91520000000000001</v>
      </c>
      <c r="J4" s="90">
        <v>0.90329999999999999</v>
      </c>
      <c r="K4" s="90">
        <v>0.89870000000000005</v>
      </c>
      <c r="L4" s="90">
        <v>0.89790000000000003</v>
      </c>
      <c r="M4" s="90">
        <v>0.89410000000000001</v>
      </c>
      <c r="N4" s="90">
        <v>0.89100000000000001</v>
      </c>
      <c r="O4" s="90">
        <v>0.87250000000000005</v>
      </c>
      <c r="P4" s="90">
        <v>0.86309999999999998</v>
      </c>
      <c r="Q4" s="90">
        <v>0.85819999999999996</v>
      </c>
      <c r="R4" s="90">
        <v>0.86070000000000002</v>
      </c>
      <c r="S4" s="90">
        <v>0.88380000000000003</v>
      </c>
      <c r="T4" s="90">
        <v>0.90680000000000005</v>
      </c>
      <c r="U4" s="104">
        <v>0.90100000000000002</v>
      </c>
      <c r="V4" s="104">
        <v>0.89239999999999997</v>
      </c>
      <c r="W4" s="6"/>
      <c r="X4" s="6"/>
      <c r="Y4" s="6"/>
      <c r="Z4" s="6"/>
      <c r="AA4" s="6"/>
    </row>
    <row r="5" spans="1:27" x14ac:dyDescent="0.25">
      <c r="A5" s="28" t="s">
        <v>42</v>
      </c>
      <c r="B5" s="43" t="s">
        <v>40</v>
      </c>
      <c r="C5" s="81" t="s">
        <v>43</v>
      </c>
      <c r="D5" s="86">
        <v>0.93379999999999996</v>
      </c>
      <c r="E5" s="86">
        <v>0.94220000000000004</v>
      </c>
      <c r="F5" s="86">
        <v>0.93879999999999997</v>
      </c>
      <c r="G5" s="86">
        <v>0.93069999999999997</v>
      </c>
      <c r="H5" s="86">
        <v>0.91679999999999995</v>
      </c>
      <c r="I5" s="86">
        <v>0.93069999999999997</v>
      </c>
      <c r="J5" s="86">
        <v>0.93930000000000002</v>
      </c>
      <c r="K5" s="86">
        <v>0.94479999999999997</v>
      </c>
      <c r="L5" s="86">
        <v>0.95079999999999998</v>
      </c>
      <c r="M5" s="86">
        <v>0.9456</v>
      </c>
      <c r="N5" s="86">
        <v>0.94930000000000003</v>
      </c>
      <c r="O5" s="86">
        <v>0.9476</v>
      </c>
      <c r="P5" s="86">
        <v>0.93630000000000002</v>
      </c>
      <c r="Q5" s="86">
        <v>0.93389999999999995</v>
      </c>
      <c r="R5" s="86">
        <v>0.92559999999999998</v>
      </c>
      <c r="S5" s="86">
        <v>0.93459999999999999</v>
      </c>
      <c r="T5" s="86">
        <v>0.93759999999999999</v>
      </c>
      <c r="U5" s="85">
        <v>0.90410000000000001</v>
      </c>
      <c r="V5" s="85">
        <v>0.93310000000000004</v>
      </c>
      <c r="W5" s="9"/>
      <c r="X5" s="9"/>
      <c r="Y5" s="9"/>
      <c r="Z5" s="9"/>
      <c r="AA5" s="9"/>
    </row>
    <row r="6" spans="1:27" x14ac:dyDescent="0.25">
      <c r="A6" s="28"/>
      <c r="B6" s="43" t="s">
        <v>40</v>
      </c>
      <c r="C6" s="81" t="s">
        <v>44</v>
      </c>
      <c r="D6" s="86">
        <v>0.88770000000000004</v>
      </c>
      <c r="E6" s="86">
        <v>0.9425</v>
      </c>
      <c r="F6" s="86">
        <v>0.9264</v>
      </c>
      <c r="G6" s="86">
        <v>0.8589</v>
      </c>
      <c r="H6" s="86">
        <v>0.90339999999999998</v>
      </c>
      <c r="I6" s="86">
        <v>0.90280000000000005</v>
      </c>
      <c r="J6" s="86">
        <v>0.91639999999999999</v>
      </c>
      <c r="K6" s="86">
        <v>0.86909999999999998</v>
      </c>
      <c r="L6" s="86">
        <v>0.87050000000000005</v>
      </c>
      <c r="M6" s="86">
        <v>0.93520000000000003</v>
      </c>
      <c r="N6" s="86">
        <v>0.93079999999999996</v>
      </c>
      <c r="O6" s="86">
        <v>0.92930000000000001</v>
      </c>
      <c r="P6" s="86">
        <v>0.92849999999999999</v>
      </c>
      <c r="Q6" s="86">
        <v>0.92559999999999998</v>
      </c>
      <c r="R6" s="86">
        <v>0.92369999999999997</v>
      </c>
      <c r="S6" s="86">
        <v>0.94350000000000001</v>
      </c>
      <c r="T6" s="86">
        <v>0.92710000000000004</v>
      </c>
      <c r="U6" s="85">
        <v>0.92479999999999996</v>
      </c>
      <c r="V6" s="85">
        <v>0.90710000000000002</v>
      </c>
      <c r="W6" s="9"/>
      <c r="X6" s="9"/>
      <c r="Y6" s="9"/>
      <c r="Z6" s="9"/>
      <c r="AA6" s="9"/>
    </row>
    <row r="7" spans="1:27" x14ac:dyDescent="0.25">
      <c r="A7" s="28"/>
      <c r="B7" s="43" t="s">
        <v>40</v>
      </c>
      <c r="C7" s="81" t="s">
        <v>45</v>
      </c>
      <c r="D7" s="86">
        <v>0.92569999999999997</v>
      </c>
      <c r="E7" s="86">
        <v>0.9304</v>
      </c>
      <c r="F7" s="86">
        <v>0.92730000000000001</v>
      </c>
      <c r="G7" s="86">
        <v>0.92969999999999997</v>
      </c>
      <c r="H7" s="86">
        <v>0.91610000000000003</v>
      </c>
      <c r="I7" s="86">
        <v>0.91669999999999996</v>
      </c>
      <c r="J7" s="86">
        <v>0.88239999999999996</v>
      </c>
      <c r="K7" s="86">
        <v>0.92500000000000004</v>
      </c>
      <c r="L7" s="86">
        <v>0.89739999999999998</v>
      </c>
      <c r="M7" s="86" t="s">
        <v>307</v>
      </c>
      <c r="N7" s="86" t="s">
        <v>307</v>
      </c>
      <c r="O7" s="86">
        <v>0.84089999999999998</v>
      </c>
      <c r="P7" s="86">
        <v>0.90149999999999997</v>
      </c>
      <c r="Q7" s="86">
        <v>0.91600000000000004</v>
      </c>
      <c r="R7" s="86">
        <v>0.9093</v>
      </c>
      <c r="S7" s="86">
        <v>0.93089999999999995</v>
      </c>
      <c r="T7" s="86">
        <v>0.93289999999999995</v>
      </c>
      <c r="U7" s="85">
        <v>0.9224</v>
      </c>
      <c r="V7" s="85"/>
      <c r="W7" s="9"/>
      <c r="X7" s="9"/>
      <c r="Y7" s="9"/>
      <c r="Z7" s="9"/>
      <c r="AA7" s="9"/>
    </row>
    <row r="8" spans="1:27" x14ac:dyDescent="0.25">
      <c r="A8" s="28"/>
      <c r="B8" s="43" t="s">
        <v>40</v>
      </c>
      <c r="C8" s="81" t="s">
        <v>46</v>
      </c>
      <c r="D8" s="86">
        <v>0.85499999999999998</v>
      </c>
      <c r="E8" s="86">
        <v>0.82199999999999995</v>
      </c>
      <c r="F8" s="86">
        <v>0.85819999999999996</v>
      </c>
      <c r="G8" s="86">
        <v>0.86339999999999995</v>
      </c>
      <c r="H8" s="86">
        <v>0.81269999999999998</v>
      </c>
      <c r="I8" s="86">
        <v>0.78690000000000004</v>
      </c>
      <c r="J8" s="86">
        <v>0.76749999999999996</v>
      </c>
      <c r="K8" s="86">
        <v>0.73770000000000002</v>
      </c>
      <c r="L8" s="86">
        <v>0.72929999999999995</v>
      </c>
      <c r="M8" s="86">
        <v>0.74690000000000001</v>
      </c>
      <c r="N8" s="86">
        <v>0.73199999999999998</v>
      </c>
      <c r="O8" s="86">
        <v>0.82289999999999996</v>
      </c>
      <c r="P8" s="86">
        <v>0.85289999999999999</v>
      </c>
      <c r="Q8" s="86">
        <v>0.87519999999999998</v>
      </c>
      <c r="R8" s="86">
        <v>0.84560000000000002</v>
      </c>
      <c r="S8" s="86">
        <v>0.79449999999999998</v>
      </c>
      <c r="T8" s="86">
        <v>0.85719999999999996</v>
      </c>
      <c r="U8" s="85">
        <v>0.87</v>
      </c>
      <c r="V8" s="85">
        <v>0.84799999999999998</v>
      </c>
      <c r="W8" s="9"/>
      <c r="X8" s="9"/>
      <c r="Y8" s="9"/>
      <c r="Z8" s="9"/>
      <c r="AA8" s="9"/>
    </row>
    <row r="9" spans="1:27" ht="12" thickBot="1" x14ac:dyDescent="0.3">
      <c r="A9" s="28"/>
      <c r="B9" s="25" t="s">
        <v>47</v>
      </c>
      <c r="C9" s="82" t="s">
        <v>43</v>
      </c>
      <c r="D9" s="87"/>
      <c r="E9" s="87"/>
      <c r="F9" s="87"/>
      <c r="G9" s="87"/>
      <c r="H9" s="87"/>
      <c r="I9" s="87"/>
      <c r="J9" s="87"/>
      <c r="K9" s="87"/>
      <c r="L9" s="87"/>
      <c r="M9" s="87"/>
      <c r="N9" s="87"/>
      <c r="O9" s="87"/>
      <c r="P9" s="87"/>
      <c r="Q9" s="87"/>
      <c r="R9" s="87"/>
      <c r="S9" s="87"/>
      <c r="T9" s="87"/>
      <c r="U9" s="102"/>
      <c r="V9" s="102">
        <v>0.71779999999999999</v>
      </c>
      <c r="W9" s="4"/>
      <c r="X9" s="4"/>
      <c r="Y9" s="4"/>
      <c r="Z9" s="4"/>
      <c r="AA9" s="4"/>
    </row>
    <row r="10" spans="1:27" ht="12" thickBot="1" x14ac:dyDescent="0.3">
      <c r="A10" s="29"/>
      <c r="B10" s="91" t="s">
        <v>48</v>
      </c>
      <c r="C10" s="83" t="s">
        <v>21</v>
      </c>
      <c r="D10" s="92">
        <v>0.91249999999999998</v>
      </c>
      <c r="E10" s="92">
        <v>0.92349999999999999</v>
      </c>
      <c r="F10" s="92">
        <v>0.9284</v>
      </c>
      <c r="G10" s="92">
        <v>0.91210000000000002</v>
      </c>
      <c r="H10" s="92">
        <v>0.90400000000000003</v>
      </c>
      <c r="I10" s="92">
        <v>0.90969999999999995</v>
      </c>
      <c r="J10" s="92">
        <v>0.90200000000000002</v>
      </c>
      <c r="K10" s="92">
        <v>0.8609</v>
      </c>
      <c r="L10" s="92">
        <v>0.87870000000000004</v>
      </c>
      <c r="M10" s="92">
        <v>0.89990000000000003</v>
      </c>
      <c r="N10" s="92">
        <v>0.87990000000000002</v>
      </c>
      <c r="O10" s="92">
        <v>0.89600000000000002</v>
      </c>
      <c r="P10" s="92">
        <v>0.90510000000000002</v>
      </c>
      <c r="Q10" s="92">
        <v>0.9143</v>
      </c>
      <c r="R10" s="92">
        <v>0.8982</v>
      </c>
      <c r="S10" s="92">
        <v>0.90369999999999995</v>
      </c>
      <c r="T10" s="92">
        <v>0.90439999999999998</v>
      </c>
      <c r="U10" s="103">
        <v>0.90100000000000002</v>
      </c>
      <c r="V10" s="103">
        <v>0.88349999999999995</v>
      </c>
      <c r="W10" s="19"/>
      <c r="X10" s="19"/>
      <c r="Y10" s="19"/>
      <c r="Z10" s="19"/>
      <c r="AA10" s="19"/>
    </row>
    <row r="11" spans="1:27" x14ac:dyDescent="0.25">
      <c r="A11" s="28"/>
      <c r="B11" s="88" t="s">
        <v>32</v>
      </c>
      <c r="C11" s="89" t="s">
        <v>49</v>
      </c>
      <c r="D11" s="90">
        <v>0.81030000000000002</v>
      </c>
      <c r="E11" s="90">
        <v>0.83499999999999996</v>
      </c>
      <c r="F11" s="90">
        <v>0.85670000000000002</v>
      </c>
      <c r="G11" s="90">
        <v>0.83120000000000005</v>
      </c>
      <c r="H11" s="90">
        <v>0.84079999999999999</v>
      </c>
      <c r="I11" s="90">
        <v>0.80989999999999995</v>
      </c>
      <c r="J11" s="90">
        <v>0.8024</v>
      </c>
      <c r="K11" s="90">
        <v>0.84789999999999999</v>
      </c>
      <c r="L11" s="90">
        <v>0.83140000000000003</v>
      </c>
      <c r="M11" s="90">
        <v>0.84940000000000004</v>
      </c>
      <c r="N11" s="90">
        <v>0.83379999999999999</v>
      </c>
      <c r="O11" s="90">
        <v>0.86839999999999995</v>
      </c>
      <c r="P11" s="90">
        <v>0.81730000000000003</v>
      </c>
      <c r="Q11" s="90">
        <v>0.79239999999999999</v>
      </c>
      <c r="R11" s="90">
        <v>0.80959999999999999</v>
      </c>
      <c r="S11" s="90">
        <v>0.84450000000000003</v>
      </c>
      <c r="T11" s="90">
        <v>0.83609999999999995</v>
      </c>
      <c r="U11" s="104">
        <v>0.83409999999999995</v>
      </c>
      <c r="V11" s="104">
        <v>0.81950000000000001</v>
      </c>
      <c r="W11" s="6"/>
      <c r="X11" s="6"/>
      <c r="Y11" s="6"/>
      <c r="Z11" s="6"/>
      <c r="AA11" s="6"/>
    </row>
    <row r="12" spans="1:27" ht="12" thickBot="1" x14ac:dyDescent="0.3">
      <c r="A12" s="28"/>
      <c r="B12" s="25" t="s">
        <v>32</v>
      </c>
      <c r="C12" s="82" t="s">
        <v>41</v>
      </c>
      <c r="D12" s="87"/>
      <c r="E12" s="87"/>
      <c r="F12" s="87"/>
      <c r="G12" s="87"/>
      <c r="H12" s="87"/>
      <c r="I12" s="87"/>
      <c r="J12" s="87"/>
      <c r="K12" s="87"/>
      <c r="L12" s="87"/>
      <c r="M12" s="87"/>
      <c r="N12" s="87"/>
      <c r="O12" s="87"/>
      <c r="P12" s="87"/>
      <c r="Q12" s="87"/>
      <c r="R12" s="87"/>
      <c r="S12" s="87"/>
      <c r="T12" s="87"/>
      <c r="U12" s="102"/>
      <c r="V12" s="102"/>
      <c r="W12" s="4"/>
      <c r="X12" s="4"/>
      <c r="Y12" s="4"/>
      <c r="Z12" s="4"/>
      <c r="AA12" s="4"/>
    </row>
    <row r="13" spans="1:27" ht="12" thickBot="1" x14ac:dyDescent="0.3">
      <c r="A13" s="29"/>
      <c r="B13" s="91" t="s">
        <v>50</v>
      </c>
      <c r="C13" s="83" t="s">
        <v>21</v>
      </c>
      <c r="D13" s="92">
        <v>0.81030000000000002</v>
      </c>
      <c r="E13" s="92">
        <v>0.83499999999999996</v>
      </c>
      <c r="F13" s="92">
        <v>0.85670000000000002</v>
      </c>
      <c r="G13" s="92">
        <v>0.83120000000000005</v>
      </c>
      <c r="H13" s="92">
        <v>0.84079999999999999</v>
      </c>
      <c r="I13" s="92">
        <v>0.80989999999999995</v>
      </c>
      <c r="J13" s="92">
        <v>0.8024</v>
      </c>
      <c r="K13" s="92">
        <v>0.84789999999999999</v>
      </c>
      <c r="L13" s="92">
        <v>0.83140000000000003</v>
      </c>
      <c r="M13" s="92">
        <v>0.84940000000000004</v>
      </c>
      <c r="N13" s="92">
        <v>0.83379999999999999</v>
      </c>
      <c r="O13" s="92">
        <v>0.86839999999999995</v>
      </c>
      <c r="P13" s="92">
        <v>0.81730000000000003</v>
      </c>
      <c r="Q13" s="92">
        <v>0.79239999999999999</v>
      </c>
      <c r="R13" s="92">
        <v>0.80959999999999999</v>
      </c>
      <c r="S13" s="92">
        <v>0.84450000000000003</v>
      </c>
      <c r="T13" s="92">
        <v>0.83609999999999995</v>
      </c>
      <c r="U13" s="103">
        <v>0.83409999999999995</v>
      </c>
      <c r="V13" s="103">
        <v>0.81950000000000001</v>
      </c>
      <c r="W13" s="19"/>
      <c r="X13" s="19"/>
      <c r="Y13" s="19"/>
      <c r="Z13" s="19"/>
      <c r="AA13" s="19"/>
    </row>
    <row r="14" spans="1:27" x14ac:dyDescent="0.25">
      <c r="A14" s="28"/>
      <c r="B14" s="88" t="s">
        <v>51</v>
      </c>
      <c r="C14" s="89" t="s">
        <v>52</v>
      </c>
      <c r="D14" s="90">
        <v>0.93959999999999999</v>
      </c>
      <c r="E14" s="90">
        <v>0.93530000000000002</v>
      </c>
      <c r="F14" s="90">
        <v>0.93359999999999999</v>
      </c>
      <c r="G14" s="90">
        <v>0.92</v>
      </c>
      <c r="H14" s="90">
        <v>0.92869999999999997</v>
      </c>
      <c r="I14" s="90">
        <v>0.9284</v>
      </c>
      <c r="J14" s="90">
        <v>0.91290000000000004</v>
      </c>
      <c r="K14" s="90">
        <v>0.92179999999999995</v>
      </c>
      <c r="L14" s="90">
        <v>0.92090000000000005</v>
      </c>
      <c r="M14" s="90">
        <v>0.93310000000000004</v>
      </c>
      <c r="N14" s="90">
        <v>0.93630000000000002</v>
      </c>
      <c r="O14" s="90">
        <v>0.93779999999999997</v>
      </c>
      <c r="P14" s="90">
        <v>0.9425</v>
      </c>
      <c r="Q14" s="90">
        <v>0.95009999999999994</v>
      </c>
      <c r="R14" s="90">
        <v>0.95579999999999998</v>
      </c>
      <c r="S14" s="90">
        <v>0.94879999999999998</v>
      </c>
      <c r="T14" s="90">
        <v>0.94799999999999995</v>
      </c>
      <c r="U14" s="104">
        <v>0.9446</v>
      </c>
      <c r="V14" s="104">
        <v>0.92600000000000005</v>
      </c>
      <c r="W14" s="6"/>
      <c r="X14" s="6"/>
      <c r="Y14" s="6"/>
      <c r="Z14" s="6"/>
      <c r="AA14" s="6"/>
    </row>
    <row r="15" spans="1:27" x14ac:dyDescent="0.25">
      <c r="A15" s="28"/>
      <c r="B15" s="43" t="s">
        <v>51</v>
      </c>
      <c r="C15" s="81" t="s">
        <v>44</v>
      </c>
      <c r="D15" s="86">
        <v>0.93369999999999997</v>
      </c>
      <c r="E15" s="86">
        <v>0.93220000000000003</v>
      </c>
      <c r="F15" s="86">
        <v>0.94299999999999995</v>
      </c>
      <c r="G15" s="86">
        <v>0.9456</v>
      </c>
      <c r="H15" s="86">
        <v>0.94920000000000004</v>
      </c>
      <c r="I15" s="86">
        <v>0.94310000000000005</v>
      </c>
      <c r="J15" s="86">
        <v>0.9415</v>
      </c>
      <c r="K15" s="86">
        <v>0.94040000000000001</v>
      </c>
      <c r="L15" s="86">
        <v>0.93430000000000002</v>
      </c>
      <c r="M15" s="86">
        <v>0.93189999999999995</v>
      </c>
      <c r="N15" s="86">
        <v>0.92210000000000003</v>
      </c>
      <c r="O15" s="86">
        <v>0.92059999999999997</v>
      </c>
      <c r="P15" s="86">
        <v>0.92559999999999998</v>
      </c>
      <c r="Q15" s="86">
        <v>0.92579999999999996</v>
      </c>
      <c r="R15" s="86">
        <v>0.9224</v>
      </c>
      <c r="S15" s="86">
        <v>0.93269999999999997</v>
      </c>
      <c r="T15" s="86">
        <v>0.93469999999999998</v>
      </c>
      <c r="U15" s="85">
        <v>0.92820000000000003</v>
      </c>
      <c r="V15" s="85">
        <v>0.92479999999999996</v>
      </c>
      <c r="W15" s="9"/>
      <c r="X15" s="9"/>
      <c r="Y15" s="9"/>
      <c r="Z15" s="9"/>
      <c r="AA15" s="9"/>
    </row>
    <row r="16" spans="1:27" x14ac:dyDescent="0.25">
      <c r="A16" s="28"/>
      <c r="B16" s="43" t="s">
        <v>51</v>
      </c>
      <c r="C16" s="81" t="s">
        <v>53</v>
      </c>
      <c r="D16" s="86">
        <v>0.90859999999999996</v>
      </c>
      <c r="E16" s="86">
        <v>0.93700000000000006</v>
      </c>
      <c r="F16" s="86">
        <v>0.94330000000000003</v>
      </c>
      <c r="G16" s="86">
        <v>0.9335</v>
      </c>
      <c r="H16" s="86">
        <v>0.77339999999999998</v>
      </c>
      <c r="I16" s="86" t="s">
        <v>307</v>
      </c>
      <c r="J16" s="86">
        <v>0.87590000000000001</v>
      </c>
      <c r="K16" s="86">
        <v>0.92320000000000002</v>
      </c>
      <c r="L16" s="86">
        <v>0.8821</v>
      </c>
      <c r="M16" s="86">
        <v>0.93030000000000002</v>
      </c>
      <c r="N16" s="86">
        <v>0.94340000000000002</v>
      </c>
      <c r="O16" s="86">
        <v>0.89490000000000003</v>
      </c>
      <c r="P16" s="86">
        <v>0.79859999999999998</v>
      </c>
      <c r="Q16" s="86">
        <v>0.86890000000000001</v>
      </c>
      <c r="R16" s="86">
        <v>0.89700000000000002</v>
      </c>
      <c r="S16" s="86">
        <v>0.88229999999999997</v>
      </c>
      <c r="T16" s="86">
        <v>0.81899999999999995</v>
      </c>
      <c r="U16" s="85">
        <v>0.83289999999999997</v>
      </c>
      <c r="V16" s="85">
        <v>0.7903</v>
      </c>
      <c r="W16" s="9"/>
      <c r="X16" s="9"/>
      <c r="Y16" s="9"/>
      <c r="Z16" s="9"/>
      <c r="AA16" s="9"/>
    </row>
    <row r="17" spans="1:27" x14ac:dyDescent="0.25">
      <c r="A17" s="28"/>
      <c r="B17" s="43" t="s">
        <v>51</v>
      </c>
      <c r="C17" s="81" t="s">
        <v>54</v>
      </c>
      <c r="D17" s="86">
        <v>0.95589999999999997</v>
      </c>
      <c r="E17" s="86">
        <v>0.95320000000000005</v>
      </c>
      <c r="F17" s="86">
        <v>0.95520000000000005</v>
      </c>
      <c r="G17" s="86">
        <v>0.94650000000000001</v>
      </c>
      <c r="H17" s="86">
        <v>0.95109999999999995</v>
      </c>
      <c r="I17" s="86">
        <v>0.94110000000000005</v>
      </c>
      <c r="J17" s="86">
        <v>0.92800000000000005</v>
      </c>
      <c r="K17" s="86">
        <v>0.92859999999999998</v>
      </c>
      <c r="L17" s="86">
        <v>0.92810000000000004</v>
      </c>
      <c r="M17" s="86">
        <v>0.93369999999999997</v>
      </c>
      <c r="N17" s="86">
        <v>0.93930000000000002</v>
      </c>
      <c r="O17" s="86">
        <v>0.90749999999999997</v>
      </c>
      <c r="P17" s="86">
        <v>0.91739999999999999</v>
      </c>
      <c r="Q17" s="86">
        <v>0.94289999999999996</v>
      </c>
      <c r="R17" s="86">
        <v>0.91700000000000004</v>
      </c>
      <c r="S17" s="86">
        <v>0.93089999999999995</v>
      </c>
      <c r="T17" s="86">
        <v>0.9274</v>
      </c>
      <c r="U17" s="85">
        <v>0.93140000000000001</v>
      </c>
      <c r="V17" s="85">
        <v>0.93340000000000001</v>
      </c>
      <c r="W17" s="9"/>
      <c r="X17" s="9"/>
      <c r="Y17" s="9"/>
      <c r="Z17" s="9"/>
      <c r="AA17" s="9"/>
    </row>
    <row r="18" spans="1:27" x14ac:dyDescent="0.25">
      <c r="A18" s="28"/>
      <c r="B18" s="43" t="s">
        <v>55</v>
      </c>
      <c r="C18" s="81" t="s">
        <v>54</v>
      </c>
      <c r="D18" s="86">
        <v>0.95320000000000005</v>
      </c>
      <c r="E18" s="86">
        <v>0.95379999999999998</v>
      </c>
      <c r="F18" s="86">
        <v>0.95540000000000003</v>
      </c>
      <c r="G18" s="86">
        <v>0.94879999999999998</v>
      </c>
      <c r="H18" s="86">
        <v>0.94879999999999998</v>
      </c>
      <c r="I18" s="86">
        <v>0.94199999999999995</v>
      </c>
      <c r="J18" s="86">
        <v>0.93149999999999999</v>
      </c>
      <c r="K18" s="86">
        <v>0.93969999999999998</v>
      </c>
      <c r="L18" s="86">
        <v>0.93400000000000005</v>
      </c>
      <c r="M18" s="86">
        <v>0.9375</v>
      </c>
      <c r="N18" s="86">
        <v>0.94079999999999997</v>
      </c>
      <c r="O18" s="86">
        <v>0.93010000000000004</v>
      </c>
      <c r="P18" s="86">
        <v>0.91900000000000004</v>
      </c>
      <c r="Q18" s="86">
        <v>0.94020000000000004</v>
      </c>
      <c r="R18" s="86">
        <v>0.94530000000000003</v>
      </c>
      <c r="S18" s="86">
        <v>0.94169999999999998</v>
      </c>
      <c r="T18" s="86">
        <v>0.93669999999999998</v>
      </c>
      <c r="U18" s="85">
        <v>0.92800000000000005</v>
      </c>
      <c r="V18" s="85">
        <v>0.92669999999999997</v>
      </c>
      <c r="W18" s="9"/>
      <c r="X18" s="9"/>
      <c r="Y18" s="9"/>
      <c r="Z18" s="9"/>
      <c r="AA18" s="9"/>
    </row>
    <row r="19" spans="1:27" x14ac:dyDescent="0.25">
      <c r="A19" s="28"/>
      <c r="B19" s="43" t="s">
        <v>56</v>
      </c>
      <c r="C19" s="81" t="s">
        <v>54</v>
      </c>
      <c r="D19" s="86">
        <v>0.94779999999999998</v>
      </c>
      <c r="E19" s="86">
        <v>0.93359999999999999</v>
      </c>
      <c r="F19" s="86">
        <v>0.94910000000000005</v>
      </c>
      <c r="G19" s="86">
        <v>0.90639999999999998</v>
      </c>
      <c r="H19" s="86">
        <v>0.93559999999999999</v>
      </c>
      <c r="I19" s="86">
        <v>0.94069999999999998</v>
      </c>
      <c r="J19" s="86">
        <v>0.9325</v>
      </c>
      <c r="K19" s="86">
        <v>0.93530000000000002</v>
      </c>
      <c r="L19" s="86">
        <v>0.95079999999999998</v>
      </c>
      <c r="M19" s="86">
        <v>0.93479999999999996</v>
      </c>
      <c r="N19" s="86">
        <v>0.93159999999999998</v>
      </c>
      <c r="O19" s="86">
        <v>0.93620000000000003</v>
      </c>
      <c r="P19" s="86">
        <v>0.93869999999999998</v>
      </c>
      <c r="Q19" s="86">
        <v>0.93959999999999999</v>
      </c>
      <c r="R19" s="86">
        <v>0.93840000000000001</v>
      </c>
      <c r="S19" s="86">
        <v>0.94450000000000001</v>
      </c>
      <c r="T19" s="86">
        <v>0.92820000000000003</v>
      </c>
      <c r="U19" s="85">
        <v>0.9405</v>
      </c>
      <c r="V19" s="85">
        <v>0.92210000000000003</v>
      </c>
      <c r="W19" s="9"/>
      <c r="X19" s="9"/>
      <c r="Y19" s="9"/>
      <c r="Z19" s="9"/>
      <c r="AA19" s="9"/>
    </row>
    <row r="20" spans="1:27" ht="12" thickBot="1" x14ac:dyDescent="0.3">
      <c r="A20" s="28"/>
      <c r="B20" s="26" t="s">
        <v>57</v>
      </c>
      <c r="C20" s="84" t="s">
        <v>54</v>
      </c>
      <c r="D20" s="87">
        <v>0.94650000000000001</v>
      </c>
      <c r="E20" s="87">
        <v>0.95879999999999999</v>
      </c>
      <c r="F20" s="87">
        <v>0.95099999999999996</v>
      </c>
      <c r="G20" s="87">
        <v>0.94950000000000001</v>
      </c>
      <c r="H20" s="87">
        <v>0.94699999999999995</v>
      </c>
      <c r="I20" s="87">
        <v>0.95979999999999999</v>
      </c>
      <c r="J20" s="87">
        <v>0.95199999999999996</v>
      </c>
      <c r="K20" s="87" t="s">
        <v>307</v>
      </c>
      <c r="L20" s="87">
        <v>0.94550000000000001</v>
      </c>
      <c r="M20" s="87">
        <v>0.93479999999999996</v>
      </c>
      <c r="N20" s="87">
        <v>0.87990000000000002</v>
      </c>
      <c r="O20" s="87">
        <v>0.93120000000000003</v>
      </c>
      <c r="P20" s="87" t="s">
        <v>307</v>
      </c>
      <c r="Q20" s="87" t="s">
        <v>307</v>
      </c>
      <c r="R20" s="87">
        <v>0.94320000000000004</v>
      </c>
      <c r="S20" s="87">
        <v>0.95320000000000005</v>
      </c>
      <c r="T20" s="87">
        <v>0.95069999999999999</v>
      </c>
      <c r="U20" s="102">
        <v>0.95330000000000004</v>
      </c>
      <c r="V20" s="102">
        <v>0.94</v>
      </c>
      <c r="W20" s="4"/>
      <c r="X20" s="4"/>
      <c r="Y20" s="4"/>
      <c r="Z20" s="4"/>
      <c r="AA20" s="4"/>
    </row>
    <row r="21" spans="1:27" ht="12" thickBot="1" x14ac:dyDescent="0.3">
      <c r="A21" s="29"/>
      <c r="B21" s="91" t="s">
        <v>58</v>
      </c>
      <c r="C21" s="83" t="s">
        <v>21</v>
      </c>
      <c r="D21" s="92">
        <v>0.94530000000000003</v>
      </c>
      <c r="E21" s="92">
        <v>0.94530000000000003</v>
      </c>
      <c r="F21" s="92">
        <v>0.94930000000000003</v>
      </c>
      <c r="G21" s="92">
        <v>0.94430000000000003</v>
      </c>
      <c r="H21" s="92">
        <v>0.94810000000000005</v>
      </c>
      <c r="I21" s="92">
        <v>0.94169999999999998</v>
      </c>
      <c r="J21" s="92">
        <v>0.93279999999999996</v>
      </c>
      <c r="K21" s="92">
        <v>0.93459999999999999</v>
      </c>
      <c r="L21" s="92">
        <v>0.93020000000000003</v>
      </c>
      <c r="M21" s="92">
        <v>0.93359999999999999</v>
      </c>
      <c r="N21" s="92">
        <v>0.93300000000000005</v>
      </c>
      <c r="O21" s="92">
        <v>0.9194</v>
      </c>
      <c r="P21" s="92">
        <v>0.92349999999999999</v>
      </c>
      <c r="Q21" s="92">
        <v>0.93640000000000001</v>
      </c>
      <c r="R21" s="92">
        <v>0.92779999999999996</v>
      </c>
      <c r="S21" s="92">
        <v>0.93469999999999998</v>
      </c>
      <c r="T21" s="92">
        <v>0.9325</v>
      </c>
      <c r="U21" s="103">
        <v>0.93079999999999996</v>
      </c>
      <c r="V21" s="103">
        <v>0.92449999999999999</v>
      </c>
      <c r="W21" s="19"/>
      <c r="X21" s="19"/>
      <c r="Y21" s="19"/>
      <c r="Z21" s="19"/>
      <c r="AA21" s="19"/>
    </row>
    <row r="22" spans="1:27" ht="12" thickBot="1" x14ac:dyDescent="0.3">
      <c r="A22" s="30"/>
      <c r="B22" s="91" t="s">
        <v>59</v>
      </c>
      <c r="C22" s="94" t="s">
        <v>21</v>
      </c>
      <c r="D22" s="101">
        <v>0.94040000000000001</v>
      </c>
      <c r="E22" s="101">
        <v>0.94010000000000005</v>
      </c>
      <c r="F22" s="101">
        <v>0.94540000000000002</v>
      </c>
      <c r="G22" s="101">
        <v>0.93700000000000006</v>
      </c>
      <c r="H22" s="101">
        <v>0.9385</v>
      </c>
      <c r="I22" s="101">
        <v>0.93189999999999995</v>
      </c>
      <c r="J22" s="101">
        <v>0.92490000000000006</v>
      </c>
      <c r="K22" s="101">
        <v>0.92400000000000004</v>
      </c>
      <c r="L22" s="101">
        <v>0.92249999999999999</v>
      </c>
      <c r="M22" s="101">
        <v>0.92730000000000001</v>
      </c>
      <c r="N22" s="101">
        <v>0.92269999999999996</v>
      </c>
      <c r="O22" s="101">
        <v>0.91400000000000003</v>
      </c>
      <c r="P22" s="101">
        <v>0.91790000000000005</v>
      </c>
      <c r="Q22" s="101">
        <v>0.92949999999999999</v>
      </c>
      <c r="R22" s="101">
        <v>0.92030000000000001</v>
      </c>
      <c r="S22" s="101">
        <v>0.92789999999999995</v>
      </c>
      <c r="T22" s="101">
        <v>0.92579999999999996</v>
      </c>
      <c r="U22" s="105">
        <v>0.92390000000000005</v>
      </c>
      <c r="V22" s="103">
        <v>0.91490000000000005</v>
      </c>
      <c r="W22" s="19"/>
      <c r="X22" s="19"/>
      <c r="Y22" s="19"/>
      <c r="Z22" s="19"/>
      <c r="AA22" s="19"/>
    </row>
    <row r="23" spans="1:27" x14ac:dyDescent="0.25">
      <c r="A23" s="32" t="s">
        <v>24</v>
      </c>
      <c r="B23" s="93" t="s">
        <v>25</v>
      </c>
      <c r="C23" s="45"/>
      <c r="D23" s="85">
        <v>0.98799999999999999</v>
      </c>
      <c r="E23" s="85">
        <v>0.98409999999999997</v>
      </c>
      <c r="F23" s="85">
        <v>0.98599999999999999</v>
      </c>
      <c r="G23" s="85">
        <v>0.98580000000000001</v>
      </c>
      <c r="H23" s="85">
        <v>0.98550000000000004</v>
      </c>
      <c r="I23" s="85">
        <v>0.98309999999999997</v>
      </c>
      <c r="J23" s="85">
        <v>0.98409999999999997</v>
      </c>
      <c r="K23" s="85">
        <v>0.98216999999999999</v>
      </c>
      <c r="L23" s="85">
        <v>0.9839</v>
      </c>
      <c r="M23" s="85">
        <v>0.98089999999999999</v>
      </c>
      <c r="N23" s="85">
        <v>0.98409999999999997</v>
      </c>
      <c r="O23" s="85">
        <v>0.98360000000000003</v>
      </c>
      <c r="P23" s="85">
        <v>0.98599999999999999</v>
      </c>
      <c r="Q23" s="85">
        <v>0.98470000000000002</v>
      </c>
      <c r="R23" s="85">
        <v>0.98470000000000002</v>
      </c>
      <c r="S23" s="85">
        <v>0.98429999999999995</v>
      </c>
      <c r="T23" s="85">
        <v>0.98319999999999996</v>
      </c>
      <c r="U23" s="85">
        <v>0.98560000000000003</v>
      </c>
      <c r="V23" s="85"/>
      <c r="W23" s="85"/>
      <c r="X23" s="85"/>
      <c r="Y23" s="85"/>
      <c r="Z23" s="85"/>
      <c r="AA23" s="85"/>
    </row>
    <row r="24" spans="1:27" x14ac:dyDescent="0.25">
      <c r="A24" s="33" t="s">
        <v>243</v>
      </c>
      <c r="B24" s="39" t="s">
        <v>26</v>
      </c>
      <c r="C24" s="35"/>
      <c r="D24" s="85">
        <v>0.98970000000000002</v>
      </c>
      <c r="E24" s="85">
        <v>0.99260000000000004</v>
      </c>
      <c r="F24" s="85">
        <v>0.99180000000000001</v>
      </c>
      <c r="G24" s="85">
        <v>0.99050000000000005</v>
      </c>
      <c r="H24" s="85">
        <v>0.99119999999999997</v>
      </c>
      <c r="I24" s="85">
        <v>0.99180000000000001</v>
      </c>
      <c r="J24" s="85">
        <v>0.99299999999999999</v>
      </c>
      <c r="K24" s="85">
        <v>0.99299000000000004</v>
      </c>
      <c r="L24" s="85">
        <v>0.99329999999999996</v>
      </c>
      <c r="M24" s="85">
        <v>0.9919</v>
      </c>
      <c r="N24" s="85">
        <v>0.99339999999999995</v>
      </c>
      <c r="O24" s="85">
        <v>0.99309999999999998</v>
      </c>
      <c r="P24" s="85">
        <v>0.99370000000000003</v>
      </c>
      <c r="Q24" s="85">
        <v>0.99370000000000003</v>
      </c>
      <c r="R24" s="85">
        <v>0.99270000000000003</v>
      </c>
      <c r="S24" s="85">
        <v>0.99239999999999995</v>
      </c>
      <c r="T24" s="85">
        <v>0.99309999999999998</v>
      </c>
      <c r="U24" s="85">
        <v>0.99270000000000003</v>
      </c>
      <c r="V24" s="85"/>
      <c r="W24" s="85"/>
      <c r="X24" s="85"/>
      <c r="Y24" s="85"/>
      <c r="Z24" s="85"/>
      <c r="AA24" s="85"/>
    </row>
    <row r="25" spans="1:27" ht="12" thickBot="1" x14ac:dyDescent="0.3">
      <c r="A25" s="33"/>
      <c r="B25" s="76" t="s">
        <v>27</v>
      </c>
      <c r="C25" s="72"/>
      <c r="D25" s="102">
        <v>0.99370000000000003</v>
      </c>
      <c r="E25" s="102">
        <v>0.99380000000000002</v>
      </c>
      <c r="F25" s="102">
        <v>0.99280000000000002</v>
      </c>
      <c r="G25" s="102">
        <v>0.99209999999999998</v>
      </c>
      <c r="H25" s="102">
        <v>0.99199999999999999</v>
      </c>
      <c r="I25" s="102">
        <v>0.99270000000000003</v>
      </c>
      <c r="J25" s="102">
        <v>0.99219999999999997</v>
      </c>
      <c r="K25" s="102">
        <v>0.99285999999999996</v>
      </c>
      <c r="L25" s="102">
        <v>0.99160000000000004</v>
      </c>
      <c r="M25" s="102">
        <v>0.99229999999999996</v>
      </c>
      <c r="N25" s="102">
        <v>0.99019999999999997</v>
      </c>
      <c r="O25" s="102">
        <v>0.99039999999999995</v>
      </c>
      <c r="P25" s="102">
        <v>0.9919</v>
      </c>
      <c r="Q25" s="102">
        <v>0.9929</v>
      </c>
      <c r="R25" s="102">
        <v>0.99299999999999999</v>
      </c>
      <c r="S25" s="102">
        <v>0.99319999999999997</v>
      </c>
      <c r="T25" s="102">
        <v>0.99450000000000005</v>
      </c>
      <c r="U25" s="102">
        <v>0.99409999999999998</v>
      </c>
      <c r="V25" s="102"/>
      <c r="W25" s="102"/>
      <c r="X25" s="102"/>
      <c r="Y25" s="102"/>
      <c r="Z25" s="102"/>
      <c r="AA25" s="102"/>
    </row>
    <row r="26" spans="1:27" ht="12" thickBot="1" x14ac:dyDescent="0.3">
      <c r="A26" s="34"/>
      <c r="B26" s="77" t="s">
        <v>244</v>
      </c>
      <c r="C26" s="78"/>
      <c r="D26" s="103">
        <v>0.99129999999999996</v>
      </c>
      <c r="E26" s="103">
        <v>0.99029999999999996</v>
      </c>
      <c r="F26" s="103">
        <v>0.99070000000000003</v>
      </c>
      <c r="G26" s="103">
        <v>0.98970000000000002</v>
      </c>
      <c r="H26" s="103">
        <v>0.99009999999999998</v>
      </c>
      <c r="I26" s="103">
        <v>0.9899</v>
      </c>
      <c r="J26" s="103">
        <v>0.99039999999999995</v>
      </c>
      <c r="K26" s="103">
        <v>0.99063000000000001</v>
      </c>
      <c r="L26" s="103">
        <v>0.99009999999999998</v>
      </c>
      <c r="M26" s="103">
        <v>0.98909999999999998</v>
      </c>
      <c r="N26" s="103">
        <v>0.98960000000000004</v>
      </c>
      <c r="O26" s="103">
        <v>0.98980000000000001</v>
      </c>
      <c r="P26" s="103">
        <v>0.99099999999999999</v>
      </c>
      <c r="Q26" s="103">
        <v>0.99109999999999998</v>
      </c>
      <c r="R26" s="103">
        <v>0.99070000000000003</v>
      </c>
      <c r="S26" s="103">
        <v>0.99060000000000004</v>
      </c>
      <c r="T26" s="103">
        <v>0.9909</v>
      </c>
      <c r="U26" s="103">
        <v>0.99160000000000004</v>
      </c>
      <c r="V26" s="19"/>
      <c r="W26" s="19"/>
      <c r="X26" s="19"/>
      <c r="Y26" s="19"/>
      <c r="Z26" s="19"/>
      <c r="AA26" s="19"/>
    </row>
  </sheetData>
  <phoneticPr fontId="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2B91A0E2FE2BC4D9197FDCB8AEBBDCE" ma:contentTypeVersion="3" ma:contentTypeDescription="Create a new document." ma:contentTypeScope="" ma:versionID="7580ff2eb8ecd1e2ab01015e72a75b88">
  <xsd:schema xmlns:xsd="http://www.w3.org/2001/XMLSchema" xmlns:xs="http://www.w3.org/2001/XMLSchema" xmlns:p="http://schemas.microsoft.com/office/2006/metadata/properties" xmlns:ns2="a5f8daf2-3e2b-4c58-bdb9-4a848e6b2bdf" targetNamespace="http://schemas.microsoft.com/office/2006/metadata/properties" ma:root="true" ma:fieldsID="0ec502f025121f38dd73f9fc511a2191" ns2:_="">
    <xsd:import namespace="a5f8daf2-3e2b-4c58-bdb9-4a848e6b2bd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8daf2-3e2b-4c58-bdb9-4a848e6b2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D5EF47BE-6081-4337-B947-58A57F26E40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118A331-8549-4AB0-8AE2-BD7373DB5C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f8daf2-3e2b-4c58-bdb9-4a848e6b2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DB820F-11D8-4356-9562-3F89339206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 vol-Ship</vt:lpstr>
      <vt:lpstr>Daily_Yield_Ta</vt:lpstr>
      <vt:lpstr>Daily_Yield_SC</vt:lpstr>
      <vt:lpstr>Monthly_Yield_Ta-SC</vt:lpstr>
    </vt:vector>
  </TitlesOfParts>
  <Manager/>
  <Company>YAGEO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Orawan Pirakaew</dc:creator>
  <cp:keywords/>
  <dc:description/>
  <cp:lastModifiedBy>Teranat Yasan</cp:lastModifiedBy>
  <cp:revision/>
  <dcterms:created xsi:type="dcterms:W3CDTF">2026-07-09T00:23:57Z</dcterms:created>
  <dcterms:modified xsi:type="dcterms:W3CDTF">2026-08-24T02:11:10Z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0x01010072B91A0E2FE2BC4D9197FDCB8AEBBDCE</vt:lpwstr>
  </property>
</Properties>
</file>